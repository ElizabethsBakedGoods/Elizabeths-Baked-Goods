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eakdown" sheetId="1" r:id="rId4"/>
    <sheet state="visible" name="Ingredients" sheetId="2" r:id="rId5"/>
    <sheet state="visible" name="Packaging" sheetId="3" r:id="rId6"/>
    <sheet state="visible" name="Sample Chart" sheetId="4" r:id="rId7"/>
  </sheets>
  <definedNames/>
  <calcPr/>
</workbook>
</file>

<file path=xl/sharedStrings.xml><?xml version="1.0" encoding="utf-8"?>
<sst xmlns="http://schemas.openxmlformats.org/spreadsheetml/2006/main" count="371" uniqueCount="194">
  <si>
    <t>Ingredient</t>
  </si>
  <si>
    <t>Ingredient Cost</t>
  </si>
  <si>
    <t>Item</t>
  </si>
  <si>
    <t>Amount</t>
  </si>
  <si>
    <t>Unit</t>
  </si>
  <si>
    <t>Unit Cost</t>
  </si>
  <si>
    <t>Total Cost</t>
  </si>
  <si>
    <t>Ingredient Used</t>
  </si>
  <si>
    <t>Quanitiy Used</t>
  </si>
  <si>
    <t>g</t>
  </si>
  <si>
    <t>Cost of Ingedient</t>
  </si>
  <si>
    <t>Total cost of ingredient used</t>
  </si>
  <si>
    <t>Yield</t>
  </si>
  <si>
    <t>Total Yield for Recipe</t>
  </si>
  <si>
    <t>ea</t>
  </si>
  <si>
    <t xml:space="preserve">Total </t>
  </si>
  <si>
    <t>Total grams per recipe</t>
  </si>
  <si>
    <t>Total Cost of Recipe</t>
  </si>
  <si>
    <t>Total/ea</t>
  </si>
  <si>
    <t>Grams in each yielded item</t>
  </si>
  <si>
    <t>Total cost per each item yielded</t>
  </si>
  <si>
    <t>Item Per Package</t>
  </si>
  <si>
    <t>How much product in each package</t>
  </si>
  <si>
    <t>Cost of how much prodcut in package</t>
  </si>
  <si>
    <t>Packing Costs</t>
  </si>
  <si>
    <t>*see note</t>
  </si>
  <si>
    <t>Price of Packaging</t>
  </si>
  <si>
    <t>Total Cost of Packing</t>
  </si>
  <si>
    <t>*NOTE: this row is the total cost of what goes into your packaging; bag or box, stickers, etc.  ANYTHING used to package the total product</t>
  </si>
  <si>
    <t>Total Cost of item per package plus packing costs</t>
  </si>
  <si>
    <t>Service Costs</t>
  </si>
  <si>
    <t>Per Pack</t>
  </si>
  <si>
    <t>How much you charge</t>
  </si>
  <si>
    <t>Sales Tax</t>
  </si>
  <si>
    <t>Your State Sales Tax</t>
  </si>
  <si>
    <t>Sales Tax times Serving Cost equals how much tax to pay on item</t>
  </si>
  <si>
    <t>Profit</t>
  </si>
  <si>
    <t>How much you make</t>
  </si>
  <si>
    <t>Food Cost %</t>
  </si>
  <si>
    <t>Target around 20-30%</t>
  </si>
  <si>
    <t>General Notes</t>
  </si>
  <si>
    <t>-To get a more accurate cost for your ingredients, put the = sign in the unit cost spot, then go to your ingredients tab and select the grams spot for the ingredient used</t>
  </si>
  <si>
    <t>-Using grams is the most accurate way to get your costing because it can convert your ingredients into a single uniform unit.  Keep in mind to try and use a single consistent source for when converting to make sure that you get an accurate result.</t>
  </si>
  <si>
    <r>
      <rPr/>
      <t xml:space="preserve">-I use this website to do basically all of my conversions because it has been the most accurate for me:  </t>
    </r>
    <r>
      <rPr>
        <color rgb="FF1155CC"/>
        <u/>
      </rPr>
      <t>https://www.traditionaloven.com/conversions_of_measures/flour_volume_weight.html</t>
    </r>
  </si>
  <si>
    <t>LB</t>
  </si>
  <si>
    <t>OZ</t>
  </si>
  <si>
    <t>Qt/EA</t>
  </si>
  <si>
    <t>Total OZ</t>
  </si>
  <si>
    <t>Cost/LB</t>
  </si>
  <si>
    <t>Cost/OZ</t>
  </si>
  <si>
    <t>Cost/EA</t>
  </si>
  <si>
    <t>Cost/g</t>
  </si>
  <si>
    <t>NOTES</t>
  </si>
  <si>
    <t>Alcohol Champagne</t>
  </si>
  <si>
    <t>-</t>
  </si>
  <si>
    <t>Alcohol Stout</t>
  </si>
  <si>
    <t>Can Pumpkin</t>
  </si>
  <si>
    <t>Candy Peppermint Pieces</t>
  </si>
  <si>
    <t>Chocolate Chip Dark</t>
  </si>
  <si>
    <t>Chocolate Chip Milk</t>
  </si>
  <si>
    <t>Chocolate Chip Mini</t>
  </si>
  <si>
    <t>Chocolate Chip White</t>
  </si>
  <si>
    <t>Chocolate Coating Colored</t>
  </si>
  <si>
    <t>Chocolate Coating Dark</t>
  </si>
  <si>
    <t>Chocolate Coating Milk</t>
  </si>
  <si>
    <t>Chocolate Coating Peppermint</t>
  </si>
  <si>
    <t>Chocolate Coating White</t>
  </si>
  <si>
    <t>Chocolate Cocoa Powder</t>
  </si>
  <si>
    <t>Chocolate Unsweetened</t>
  </si>
  <si>
    <t>Coconut Flaked</t>
  </si>
  <si>
    <t>Coffee Espresso Instant Ground</t>
  </si>
  <si>
    <t>Coffee Instant Hazelnut</t>
  </si>
  <si>
    <t>Coffee Instant Mocha</t>
  </si>
  <si>
    <t>Cookie Oreo</t>
  </si>
  <si>
    <t>Corn Syrup</t>
  </si>
  <si>
    <t>Cornstarch</t>
  </si>
  <si>
    <t>Crystalized Ginger</t>
  </si>
  <si>
    <t>Dairy Butter</t>
  </si>
  <si>
    <t>Dairy Cream Cheese</t>
  </si>
  <si>
    <t>Dairy Evaporated Milk</t>
  </si>
  <si>
    <t>Dairy Heavy Cream</t>
  </si>
  <si>
    <t>Dairy Milk Whole</t>
  </si>
  <si>
    <t>Dairy Sour Cream</t>
  </si>
  <si>
    <t>Dairy Yogurt Greek</t>
  </si>
  <si>
    <t>Dried Cranberry</t>
  </si>
  <si>
    <t>Dried Plum</t>
  </si>
  <si>
    <t>Dried Raisin</t>
  </si>
  <si>
    <t>Egg White, Carton</t>
  </si>
  <si>
    <t>Egg, Fresh</t>
  </si>
  <si>
    <t>Extract Almond</t>
  </si>
  <si>
    <t>Extract Coffee</t>
  </si>
  <si>
    <t>Extract Lemon</t>
  </si>
  <si>
    <t>Extract Orange</t>
  </si>
  <si>
    <t>Extract Peppermint</t>
  </si>
  <si>
    <t>Extract Rum</t>
  </si>
  <si>
    <t>Extract Vanilla Imitation</t>
  </si>
  <si>
    <t>Extract Vanilla Powder</t>
  </si>
  <si>
    <t>Extract Vanilla Pure</t>
  </si>
  <si>
    <t>Flour All Purpose</t>
  </si>
  <si>
    <t>Flour Almond</t>
  </si>
  <si>
    <t>Flour Bread</t>
  </si>
  <si>
    <t>Flour Cake</t>
  </si>
  <si>
    <t>Flour Whole Wheat</t>
  </si>
  <si>
    <t>Fruit Apple</t>
  </si>
  <si>
    <t>Fruit Applesauce</t>
  </si>
  <si>
    <t>Fruit Banana</t>
  </si>
  <si>
    <t>Fruit Lemon</t>
  </si>
  <si>
    <t>Fruit Lemon Zest per tsp</t>
  </si>
  <si>
    <t>1tsp = 2g</t>
  </si>
  <si>
    <t>Fruit Orange</t>
  </si>
  <si>
    <t>Fruit Orange Zest per tsp</t>
  </si>
  <si>
    <t>Gelatin</t>
  </si>
  <si>
    <t>Graham Cracker Crumbs</t>
  </si>
  <si>
    <t>Juice Apple</t>
  </si>
  <si>
    <t>Juice Apple Cider</t>
  </si>
  <si>
    <t>Juice Lemon</t>
  </si>
  <si>
    <t>Juice Orange</t>
  </si>
  <si>
    <t>Leavening Baking Powder</t>
  </si>
  <si>
    <t>Leavening Baking Soda</t>
  </si>
  <si>
    <t>Leavening Yeast SAF Instant</t>
  </si>
  <si>
    <t>Marshmallow Mini</t>
  </si>
  <si>
    <t>Nonpareils Xmas</t>
  </si>
  <si>
    <t>Nut Almond Slices</t>
  </si>
  <si>
    <t>Nut Almond Whole</t>
  </si>
  <si>
    <t>1.3g per almond</t>
  </si>
  <si>
    <t>Nut Peanut</t>
  </si>
  <si>
    <t>Nut Pecan</t>
  </si>
  <si>
    <t>Nut Walnut</t>
  </si>
  <si>
    <t>Oats, Quick (oat flour same)</t>
  </si>
  <si>
    <t>Oil Olive</t>
  </si>
  <si>
    <t>Oil Vegetable/Canola</t>
  </si>
  <si>
    <t>Peanut Butter</t>
  </si>
  <si>
    <t>Pineapple Crushed</t>
  </si>
  <si>
    <t>Pretzels</t>
  </si>
  <si>
    <t>Shortening</t>
  </si>
  <si>
    <t>Spice All Spice</t>
  </si>
  <si>
    <t>Spice Bagel Everything Seasoning</t>
  </si>
  <si>
    <t>Spice Basil, Fresh</t>
  </si>
  <si>
    <t>Spice Black Pepper</t>
  </si>
  <si>
    <t>Spice Cardamom</t>
  </si>
  <si>
    <t>Spice Cayenne</t>
  </si>
  <si>
    <t>Spice Chili Powder</t>
  </si>
  <si>
    <t>Spice Cinnamon</t>
  </si>
  <si>
    <t>Spice Clove</t>
  </si>
  <si>
    <t>Spice Cream of Tartar</t>
  </si>
  <si>
    <t>Spice Ginger</t>
  </si>
  <si>
    <t>Spice Ginger Candied</t>
  </si>
  <si>
    <t>Spice Nutmeg</t>
  </si>
  <si>
    <t>Spice Poppyseeds</t>
  </si>
  <si>
    <t>Spice Pumpkin Pie</t>
  </si>
  <si>
    <t>Spice Rosemary, Fresh</t>
  </si>
  <si>
    <t>Spice Salt</t>
  </si>
  <si>
    <t xml:space="preserve">Spice Smoked Paprika </t>
  </si>
  <si>
    <t>Spice Thyme, Fresh</t>
  </si>
  <si>
    <t>Sprinkle Rainbow</t>
  </si>
  <si>
    <t xml:space="preserve">Sugar Brown Dark </t>
  </si>
  <si>
    <t>Sugar Brown Light</t>
  </si>
  <si>
    <t xml:space="preserve">Sugar Granulated </t>
  </si>
  <si>
    <t>Sugar Powdered</t>
  </si>
  <si>
    <t>Sweetener Honey</t>
  </si>
  <si>
    <t>Sweetener Maple Syrup</t>
  </si>
  <si>
    <t>Sweetener Molasses</t>
  </si>
  <si>
    <t>Vinegar Apple Cider</t>
  </si>
  <si>
    <t>-Subsitute the ingredient quanity and the total cost with what you are using in your area as pricing differs everywhere you buy</t>
  </si>
  <si>
    <t>Quantity</t>
  </si>
  <si>
    <t>Cost</t>
  </si>
  <si>
    <t>Cost Per Item</t>
  </si>
  <si>
    <t>Bag Bread</t>
  </si>
  <si>
    <t>Bag Flat Bottom</t>
  </si>
  <si>
    <t>Bag Sealed 4.8 x 8</t>
  </si>
  <si>
    <t>Box Bombs</t>
  </si>
  <si>
    <t>Box Cookie White and Star 8.25x6 x2.75</t>
  </si>
  <si>
    <t>Box Cookie White 9x6x3</t>
  </si>
  <si>
    <t>Box Large 7.3×4.2 ×1.9</t>
  </si>
  <si>
    <t>Box Small 7.3×1.9 ×1.9</t>
  </si>
  <si>
    <t>Label Cocoa Bomb 2.5x2.5</t>
  </si>
  <si>
    <t>Label Ingredient 2x2</t>
  </si>
  <si>
    <t>Label Ingredient 3x2</t>
  </si>
  <si>
    <t>Label Ingredient 3x4</t>
  </si>
  <si>
    <t>Label Logo</t>
  </si>
  <si>
    <t>Liner Cupcake Jumbo</t>
  </si>
  <si>
    <t>Liner Cupcake Mini</t>
  </si>
  <si>
    <t>Liner Cupcake Regular</t>
  </si>
  <si>
    <t>Liner Tissue</t>
  </si>
  <si>
    <t>Loaf Tin Large 6 x 2.6 x 2</t>
  </si>
  <si>
    <t>Loaf Tin Small 3.1 x 1.6 x 1.6</t>
  </si>
  <si>
    <t>Tissue Heart Gold</t>
  </si>
  <si>
    <t>Tissue Red and White Stripe</t>
  </si>
  <si>
    <t>Tissue White</t>
  </si>
  <si>
    <t>BLANK CHART</t>
  </si>
  <si>
    <t>SAMPLE Recipe</t>
  </si>
  <si>
    <t>AP Flour</t>
  </si>
  <si>
    <t>Salt</t>
  </si>
  <si>
    <t>Yeast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</si>
</sst>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00"/>
    <numFmt numFmtId="165" formatCode="&quot;$&quot;#,##0.00"/>
  </numFmts>
  <fonts count="8">
    <font>
      <sz val="10.0"/>
      <color rgb="FF000000"/>
      <name val="Arial"/>
      <scheme val="minor"/>
    </font>
    <font>
      <color theme="1"/>
      <name val="Arial"/>
    </font>
    <font/>
    <font>
      <color theme="1"/>
      <name val="Arial"/>
      <scheme val="minor"/>
    </font>
    <font>
      <b/>
      <color theme="1"/>
      <name val="Arial"/>
      <scheme val="minor"/>
    </font>
    <font>
      <b/>
      <u/>
      <color theme="1"/>
      <name val="Arial"/>
      <scheme val="minor"/>
    </font>
    <font>
      <u/>
      <color rgb="FF0000FF"/>
    </font>
    <font>
      <color theme="1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1" fillId="2" fontId="1" numFmtId="164" xfId="0" applyAlignment="1" applyBorder="1" applyFont="1" applyNumberFormat="1">
      <alignment horizontal="center" vertical="bottom"/>
    </xf>
    <xf borderId="4" fillId="3" fontId="1" numFmtId="0" xfId="0" applyAlignment="1" applyBorder="1" applyFill="1" applyFont="1">
      <alignment horizontal="center" vertical="bottom"/>
    </xf>
    <xf borderId="4" fillId="3" fontId="1" numFmtId="165" xfId="0" applyAlignment="1" applyBorder="1" applyFont="1" applyNumberFormat="1">
      <alignment horizontal="center" vertical="bottom"/>
    </xf>
    <xf borderId="4" fillId="3" fontId="1" numFmtId="164" xfId="0" applyAlignment="1" applyBorder="1" applyFont="1" applyNumberFormat="1">
      <alignment horizontal="center" vertical="bottom"/>
    </xf>
    <xf borderId="4" fillId="0" fontId="1" numFmtId="0" xfId="0" applyAlignment="1" applyBorder="1" applyFont="1">
      <alignment readingOrder="0" vertical="bottom"/>
    </xf>
    <xf borderId="4" fillId="0" fontId="1" numFmtId="0" xfId="0" applyAlignment="1" applyBorder="1" applyFont="1">
      <alignment horizontal="right" readingOrder="0" vertical="bottom"/>
    </xf>
    <xf borderId="4" fillId="0" fontId="1" numFmtId="0" xfId="0" applyAlignment="1" applyBorder="1" applyFont="1">
      <alignment horizontal="center" vertical="bottom"/>
    </xf>
    <xf borderId="4" fillId="0" fontId="1" numFmtId="165" xfId="0" applyAlignment="1" applyBorder="1" applyFont="1" applyNumberFormat="1">
      <alignment horizontal="right" readingOrder="0" vertical="bottom"/>
    </xf>
    <xf borderId="4" fillId="0" fontId="1" numFmtId="165" xfId="0" applyAlignment="1" applyBorder="1" applyFont="1" applyNumberFormat="1">
      <alignment horizontal="right" readingOrder="0" shrinkToFit="0" vertical="bottom" wrapText="1"/>
    </xf>
    <xf borderId="0" fillId="0" fontId="1" numFmtId="165" xfId="0" applyAlignment="1" applyFont="1" applyNumberFormat="1">
      <alignment horizontal="right" readingOrder="0" vertical="bottom"/>
    </xf>
    <xf borderId="4" fillId="0" fontId="1" numFmtId="165" xfId="0" applyAlignment="1" applyBorder="1" applyFont="1" applyNumberFormat="1">
      <alignment horizontal="right" vertical="bottom"/>
    </xf>
    <xf borderId="4" fillId="0" fontId="1" numFmtId="0" xfId="0" applyAlignment="1" applyBorder="1" applyFont="1">
      <alignment vertical="bottom"/>
    </xf>
    <xf borderId="4" fillId="0" fontId="1" numFmtId="0" xfId="0" applyAlignment="1" applyBorder="1" applyFont="1">
      <alignment horizontal="right" vertical="bottom"/>
    </xf>
    <xf borderId="4" fillId="0" fontId="1" numFmtId="165" xfId="0" applyAlignment="1" applyBorder="1" applyFont="1" applyNumberFormat="1">
      <alignment vertical="bottom"/>
    </xf>
    <xf borderId="4" fillId="0" fontId="1" numFmtId="164" xfId="0" applyAlignment="1" applyBorder="1" applyFont="1" applyNumberFormat="1">
      <alignment vertical="bottom"/>
    </xf>
    <xf borderId="4" fillId="0" fontId="1" numFmtId="165" xfId="0" applyAlignment="1" applyBorder="1" applyFont="1" applyNumberFormat="1">
      <alignment horizontal="center" vertical="bottom"/>
    </xf>
    <xf borderId="5" fillId="0" fontId="1" numFmtId="0" xfId="0" applyAlignment="1" applyBorder="1" applyFont="1">
      <alignment vertical="bottom"/>
    </xf>
    <xf borderId="0" fillId="0" fontId="3" numFmtId="0" xfId="0" applyAlignment="1" applyFont="1">
      <alignment readingOrder="0" shrinkToFit="0" wrapText="1"/>
    </xf>
    <xf borderId="4" fillId="0" fontId="1" numFmtId="0" xfId="0" applyAlignment="1" applyBorder="1" applyFont="1">
      <alignment horizontal="right" readingOrder="0" shrinkToFit="0" vertical="bottom" wrapText="1"/>
    </xf>
    <xf borderId="4" fillId="0" fontId="1" numFmtId="165" xfId="0" applyAlignment="1" applyBorder="1" applyFont="1" applyNumberFormat="1">
      <alignment horizontal="center" readingOrder="0" vertical="bottom"/>
    </xf>
    <xf borderId="0" fillId="0" fontId="4" numFmtId="0" xfId="0" applyAlignment="1" applyFont="1">
      <alignment readingOrder="0"/>
    </xf>
    <xf borderId="0" fillId="4" fontId="1" numFmtId="0" xfId="0" applyAlignment="1" applyFill="1" applyFont="1">
      <alignment vertical="bottom"/>
    </xf>
    <xf borderId="4" fillId="5" fontId="1" numFmtId="165" xfId="0" applyAlignment="1" applyBorder="1" applyFill="1" applyFont="1" applyNumberFormat="1">
      <alignment horizontal="right" readingOrder="0" shrinkToFit="0" vertical="bottom" wrapText="1"/>
    </xf>
    <xf borderId="4" fillId="6" fontId="1" numFmtId="0" xfId="0" applyAlignment="1" applyBorder="1" applyFill="1" applyFont="1">
      <alignment horizontal="right" vertical="bottom"/>
    </xf>
    <xf borderId="4" fillId="6" fontId="1" numFmtId="165" xfId="0" applyAlignment="1" applyBorder="1" applyFont="1" applyNumberFormat="1">
      <alignment horizontal="center" readingOrder="0" shrinkToFit="0" vertical="bottom" wrapText="1"/>
    </xf>
    <xf borderId="4" fillId="0" fontId="1" numFmtId="165" xfId="0" applyAlignment="1" applyBorder="1" applyFont="1" applyNumberFormat="1">
      <alignment horizontal="center" readingOrder="0" shrinkToFit="0" vertical="bottom" wrapText="1"/>
    </xf>
    <xf borderId="4" fillId="0" fontId="1" numFmtId="10" xfId="0" applyAlignment="1" applyBorder="1" applyFont="1" applyNumberFormat="1">
      <alignment vertical="bottom"/>
    </xf>
    <xf borderId="4" fillId="7" fontId="1" numFmtId="0" xfId="0" applyAlignment="1" applyBorder="1" applyFill="1" applyFont="1">
      <alignment vertical="bottom"/>
    </xf>
    <xf borderId="4" fillId="7" fontId="1" numFmtId="165" xfId="0" applyAlignment="1" applyBorder="1" applyFont="1" applyNumberFormat="1">
      <alignment horizontal="right" readingOrder="0" vertical="bottom"/>
    </xf>
    <xf borderId="4" fillId="8" fontId="1" numFmtId="0" xfId="0" applyAlignment="1" applyBorder="1" applyFill="1" applyFont="1">
      <alignment vertical="bottom"/>
    </xf>
    <xf borderId="4" fillId="8" fontId="1" numFmtId="0" xfId="0" applyAlignment="1" applyBorder="1" applyFont="1">
      <alignment horizontal="right" readingOrder="0" vertical="bottom"/>
    </xf>
    <xf borderId="0" fillId="0" fontId="5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4" xfId="0" applyAlignment="1" applyFont="1" applyNumberFormat="1">
      <alignment horizontal="center" readingOrder="0" shrinkToFit="0" vertical="bottom" wrapText="0"/>
    </xf>
    <xf borderId="0" fillId="0" fontId="1" numFmtId="165" xfId="0" applyAlignment="1" applyFont="1" applyNumberFormat="1">
      <alignment horizontal="center"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165" xfId="0" applyAlignment="1" applyFont="1" applyNumberFormat="1">
      <alignment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7" numFmtId="0" xfId="0" applyAlignment="1" applyFont="1">
      <alignment horizontal="right" shrinkToFit="0" vertical="bottom" wrapText="0"/>
    </xf>
    <xf borderId="0" fillId="0" fontId="7" numFmtId="165" xfId="0" applyAlignment="1" applyFont="1" applyNumberFormat="1">
      <alignment horizontal="right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horizontal="right" vertical="bottom"/>
    </xf>
    <xf borderId="4" fillId="5" fontId="1" numFmtId="165" xfId="0" applyAlignment="1" applyBorder="1" applyFont="1" applyNumberFormat="1">
      <alignment horizontal="right" vertical="bottom"/>
    </xf>
    <xf borderId="4" fillId="6" fontId="1" numFmtId="165" xfId="0" applyAlignment="1" applyBorder="1" applyFont="1" applyNumberFormat="1">
      <alignment horizontal="center" vertical="bottom"/>
    </xf>
    <xf borderId="4" fillId="7" fontId="1" numFmtId="165" xfId="0" applyAlignment="1" applyBorder="1" applyFont="1" applyNumberFormat="1">
      <alignment horizontal="right" vertical="bottom"/>
    </xf>
    <xf borderId="4" fillId="8" fontId="1" numFmtId="10" xfId="0" applyAlignment="1" applyBorder="1" applyFont="1" applyNumberFormat="1">
      <alignment horizontal="right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Ingredi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ckagin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108" displayName="Table1" name="Table1" id="1">
  <tableColumns count="11">
    <tableColumn name="Item" id="1"/>
    <tableColumn name="LB" id="2"/>
    <tableColumn name="OZ" id="3"/>
    <tableColumn name="Qt/EA" id="4"/>
    <tableColumn name="Total OZ" id="5"/>
    <tableColumn name="Total Cost" id="6"/>
    <tableColumn name="Cost/LB" id="7"/>
    <tableColumn name="Cost/OZ" id="8"/>
    <tableColumn name="Cost/EA" id="9"/>
    <tableColumn name="Cost/g" id="10"/>
    <tableColumn name="NOTES" id="11"/>
  </tableColumns>
  <tableStyleInfo name="Ingredients-style" showColumnStripes="0" showFirstColumn="1" showLastColumn="1" showRowStripes="1"/>
</table>
</file>

<file path=xl/tables/table2.xml><?xml version="1.0" encoding="utf-8"?>
<table xmlns="http://schemas.openxmlformats.org/spreadsheetml/2006/main" ref="A1:D23" displayName="Packaging" name="Packaging" id="2">
  <tableColumns count="4">
    <tableColumn name="Item" id="1"/>
    <tableColumn name="Quantity" id="2"/>
    <tableColumn name="Cost" id="3"/>
    <tableColumn name="Cost Per Item" id="4"/>
  </tableColumns>
  <tableStyleInfo name="Packag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raditionaloven.com/conversions_of_measures/flour_volume_weight.html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7.5"/>
    <col customWidth="1" min="3" max="3" width="20.88"/>
    <col customWidth="1" min="4" max="4" width="14.88"/>
    <col customWidth="1" min="5" max="5" width="17.0"/>
  </cols>
  <sheetData>
    <row r="1">
      <c r="A1" s="1" t="s">
        <v>0</v>
      </c>
      <c r="B1" s="2"/>
      <c r="C1" s="3"/>
      <c r="D1" s="4" t="s">
        <v>1</v>
      </c>
      <c r="E1" s="3"/>
    </row>
    <row r="2">
      <c r="A2" s="5" t="s">
        <v>2</v>
      </c>
      <c r="B2" s="5" t="s">
        <v>3</v>
      </c>
      <c r="C2" s="6" t="s">
        <v>4</v>
      </c>
      <c r="D2" s="7" t="s">
        <v>5</v>
      </c>
      <c r="E2" s="6" t="s">
        <v>6</v>
      </c>
    </row>
    <row r="3">
      <c r="A3" s="8" t="s">
        <v>7</v>
      </c>
      <c r="B3" s="9" t="s">
        <v>8</v>
      </c>
      <c r="C3" s="10" t="s">
        <v>9</v>
      </c>
      <c r="D3" s="11" t="s">
        <v>10</v>
      </c>
      <c r="E3" s="12" t="s">
        <v>11</v>
      </c>
    </row>
    <row r="4">
      <c r="A4" s="8"/>
      <c r="B4" s="9"/>
      <c r="C4" s="10" t="s">
        <v>9</v>
      </c>
      <c r="D4" s="13"/>
      <c r="E4" s="14"/>
    </row>
    <row r="5">
      <c r="A5" s="8"/>
      <c r="B5" s="9"/>
      <c r="C5" s="10" t="s">
        <v>9</v>
      </c>
      <c r="D5" s="14"/>
      <c r="E5" s="14">
        <f t="shared" ref="E5:E6" si="1">B5*D5</f>
        <v>0</v>
      </c>
    </row>
    <row r="6">
      <c r="A6" s="15"/>
      <c r="B6" s="16"/>
      <c r="C6" s="10" t="s">
        <v>9</v>
      </c>
      <c r="D6" s="14"/>
      <c r="E6" s="14">
        <f t="shared" si="1"/>
        <v>0</v>
      </c>
    </row>
    <row r="7">
      <c r="A7" s="15"/>
      <c r="B7" s="15"/>
      <c r="C7" s="17"/>
      <c r="D7" s="18"/>
      <c r="E7" s="17"/>
    </row>
    <row r="8">
      <c r="A8" s="15" t="s">
        <v>12</v>
      </c>
      <c r="B8" s="9" t="s">
        <v>13</v>
      </c>
      <c r="C8" s="19" t="s">
        <v>14</v>
      </c>
      <c r="D8" s="18"/>
      <c r="E8" s="17"/>
    </row>
    <row r="9">
      <c r="A9" s="15"/>
      <c r="B9" s="15"/>
      <c r="C9" s="17"/>
      <c r="D9" s="18"/>
      <c r="E9" s="17"/>
    </row>
    <row r="10">
      <c r="A10" s="15" t="s">
        <v>15</v>
      </c>
      <c r="B10" s="9" t="s">
        <v>16</v>
      </c>
      <c r="C10" s="10" t="s">
        <v>9</v>
      </c>
      <c r="D10" s="17"/>
      <c r="E10" s="11" t="s">
        <v>17</v>
      </c>
    </row>
    <row r="11">
      <c r="A11" s="20" t="s">
        <v>18</v>
      </c>
      <c r="B11" s="21" t="s">
        <v>19</v>
      </c>
      <c r="C11" s="10" t="s">
        <v>9</v>
      </c>
      <c r="D11" s="15"/>
      <c r="E11" s="12" t="s">
        <v>20</v>
      </c>
    </row>
    <row r="12">
      <c r="A12" s="15" t="s">
        <v>21</v>
      </c>
      <c r="B12" s="22" t="s">
        <v>22</v>
      </c>
      <c r="C12" s="10" t="s">
        <v>14</v>
      </c>
      <c r="D12" s="15"/>
      <c r="E12" s="12" t="s">
        <v>23</v>
      </c>
    </row>
    <row r="13">
      <c r="A13" s="15" t="s">
        <v>24</v>
      </c>
      <c r="B13" s="8" t="s">
        <v>25</v>
      </c>
      <c r="C13" s="23"/>
      <c r="D13" s="11" t="s">
        <v>26</v>
      </c>
      <c r="E13" s="11" t="s">
        <v>27</v>
      </c>
      <c r="F13" s="24" t="s">
        <v>28</v>
      </c>
    </row>
    <row r="14">
      <c r="A14" s="15" t="s">
        <v>6</v>
      </c>
      <c r="B14" s="25"/>
      <c r="C14" s="25"/>
      <c r="D14" s="25"/>
      <c r="E14" s="26" t="s">
        <v>29</v>
      </c>
    </row>
    <row r="15">
      <c r="A15" s="15" t="s">
        <v>30</v>
      </c>
      <c r="B15" s="27" t="s">
        <v>31</v>
      </c>
      <c r="C15" s="28" t="s">
        <v>32</v>
      </c>
      <c r="D15" s="15"/>
      <c r="E15" s="15"/>
    </row>
    <row r="16">
      <c r="A16" s="15" t="s">
        <v>33</v>
      </c>
      <c r="B16" s="9" t="s">
        <v>34</v>
      </c>
      <c r="C16" s="29" t="s">
        <v>35</v>
      </c>
      <c r="D16" s="15"/>
      <c r="E16" s="30"/>
    </row>
    <row r="17">
      <c r="A17" s="31" t="s">
        <v>36</v>
      </c>
      <c r="B17" s="32" t="s">
        <v>37</v>
      </c>
      <c r="C17" s="15"/>
      <c r="D17" s="33" t="s">
        <v>38</v>
      </c>
      <c r="E17" s="34" t="s">
        <v>39</v>
      </c>
    </row>
    <row r="20">
      <c r="A20" s="35" t="s">
        <v>40</v>
      </c>
    </row>
    <row r="21">
      <c r="A21" s="36" t="s">
        <v>41</v>
      </c>
    </row>
    <row r="22">
      <c r="A22" s="36" t="s">
        <v>42</v>
      </c>
    </row>
    <row r="23">
      <c r="A23" s="37" t="s">
        <v>43</v>
      </c>
    </row>
  </sheetData>
  <mergeCells count="2">
    <mergeCell ref="A1:C1"/>
    <mergeCell ref="D1:E1"/>
  </mergeCells>
  <hyperlinks>
    <hyperlink r:id="rId1" ref="A2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5"/>
    <col customWidth="1" min="5" max="5" width="15.0"/>
    <col customWidth="1" min="6" max="6" width="16.13"/>
    <col customWidth="1" min="7" max="7" width="14.63"/>
    <col customWidth="1" min="8" max="8" width="15.0"/>
    <col customWidth="1" min="10" max="10" width="13.63"/>
    <col customWidth="1" min="11" max="11" width="15.75"/>
  </cols>
  <sheetData>
    <row r="1" ht="22.5" customHeight="1">
      <c r="A1" s="38" t="s">
        <v>2</v>
      </c>
      <c r="B1" s="39" t="s">
        <v>44</v>
      </c>
      <c r="C1" s="39" t="s">
        <v>45</v>
      </c>
      <c r="D1" s="39" t="s">
        <v>46</v>
      </c>
      <c r="E1" s="39" t="s">
        <v>47</v>
      </c>
      <c r="F1" s="40" t="s">
        <v>6</v>
      </c>
      <c r="G1" s="40" t="s">
        <v>48</v>
      </c>
      <c r="H1" s="40" t="s">
        <v>49</v>
      </c>
      <c r="I1" s="40" t="s">
        <v>50</v>
      </c>
      <c r="J1" s="40" t="s">
        <v>51</v>
      </c>
      <c r="K1" s="40" t="s">
        <v>52</v>
      </c>
    </row>
    <row r="2" ht="22.5" customHeight="1">
      <c r="A2" s="41" t="s">
        <v>53</v>
      </c>
      <c r="B2" s="42">
        <f t="shared" ref="B2:B99" si="1">C2/16</f>
        <v>1.58503125</v>
      </c>
      <c r="C2" s="42">
        <v>25.3605</v>
      </c>
      <c r="D2" s="41"/>
      <c r="E2" s="42"/>
      <c r="F2" s="43">
        <v>3.59</v>
      </c>
      <c r="G2" s="42">
        <f t="shared" ref="G2:G54" si="2">F2/B2</f>
        <v>2.264939571</v>
      </c>
      <c r="H2" s="43">
        <f t="shared" ref="H2:H108" si="3">F2/C2</f>
        <v>0.1415587232</v>
      </c>
      <c r="I2" s="44" t="s">
        <v>54</v>
      </c>
      <c r="J2" s="43">
        <f t="shared" ref="J2:J56" si="4">H2/28.35</f>
        <v>0.004993253023</v>
      </c>
      <c r="K2" s="41"/>
    </row>
    <row r="3" ht="22.5" customHeight="1">
      <c r="A3" s="41" t="s">
        <v>55</v>
      </c>
      <c r="B3" s="42">
        <f t="shared" si="1"/>
        <v>0.75</v>
      </c>
      <c r="C3" s="42">
        <v>12.0</v>
      </c>
      <c r="D3" s="41"/>
      <c r="E3" s="42"/>
      <c r="F3" s="43">
        <v>3.0</v>
      </c>
      <c r="G3" s="42">
        <f t="shared" si="2"/>
        <v>4</v>
      </c>
      <c r="H3" s="43">
        <f t="shared" si="3"/>
        <v>0.25</v>
      </c>
      <c r="I3" s="44" t="s">
        <v>54</v>
      </c>
      <c r="J3" s="43">
        <f t="shared" si="4"/>
        <v>0.008818342152</v>
      </c>
      <c r="K3" s="41"/>
    </row>
    <row r="4" ht="22.5" customHeight="1">
      <c r="A4" s="41" t="s">
        <v>56</v>
      </c>
      <c r="B4" s="42">
        <f t="shared" si="1"/>
        <v>0.9375</v>
      </c>
      <c r="C4" s="42">
        <v>15.0</v>
      </c>
      <c r="D4" s="41"/>
      <c r="E4" s="42">
        <f>B4/16</f>
        <v>0.05859375</v>
      </c>
      <c r="F4" s="43">
        <v>3.59</v>
      </c>
      <c r="G4" s="42">
        <f t="shared" si="2"/>
        <v>3.829333333</v>
      </c>
      <c r="H4" s="43">
        <f t="shared" si="3"/>
        <v>0.2393333333</v>
      </c>
      <c r="I4" s="44" t="s">
        <v>54</v>
      </c>
      <c r="J4" s="43">
        <f t="shared" si="4"/>
        <v>0.008442092887</v>
      </c>
      <c r="K4" s="41"/>
    </row>
    <row r="5" ht="22.5" customHeight="1">
      <c r="A5" s="41" t="s">
        <v>57</v>
      </c>
      <c r="B5" s="42">
        <f t="shared" si="1"/>
        <v>1.5</v>
      </c>
      <c r="C5" s="42">
        <v>24.0</v>
      </c>
      <c r="D5" s="41"/>
      <c r="E5" s="42"/>
      <c r="F5" s="43">
        <v>14.93</v>
      </c>
      <c r="G5" s="42">
        <f t="shared" si="2"/>
        <v>9.953333333</v>
      </c>
      <c r="H5" s="43">
        <f t="shared" si="3"/>
        <v>0.6220833333</v>
      </c>
      <c r="I5" s="44" t="s">
        <v>54</v>
      </c>
      <c r="J5" s="43">
        <f t="shared" si="4"/>
        <v>0.02194297472</v>
      </c>
      <c r="K5" s="41"/>
    </row>
    <row r="6" ht="22.5" customHeight="1">
      <c r="A6" s="41" t="s">
        <v>58</v>
      </c>
      <c r="B6" s="42">
        <f t="shared" si="1"/>
        <v>0.75</v>
      </c>
      <c r="C6" s="42">
        <v>12.0</v>
      </c>
      <c r="D6" s="41"/>
      <c r="E6" s="42">
        <f t="shared" ref="E6:E12" si="5">B6/16</f>
        <v>0.046875</v>
      </c>
      <c r="F6" s="43">
        <v>4.49</v>
      </c>
      <c r="G6" s="42">
        <f t="shared" si="2"/>
        <v>5.986666667</v>
      </c>
      <c r="H6" s="43">
        <f t="shared" si="3"/>
        <v>0.3741666667</v>
      </c>
      <c r="I6" s="44" t="s">
        <v>54</v>
      </c>
      <c r="J6" s="43">
        <f t="shared" si="4"/>
        <v>0.01319811875</v>
      </c>
      <c r="K6" s="41"/>
    </row>
    <row r="7" ht="22.5" customHeight="1">
      <c r="A7" s="41" t="s">
        <v>59</v>
      </c>
      <c r="B7" s="42">
        <f t="shared" si="1"/>
        <v>0.75</v>
      </c>
      <c r="C7" s="42">
        <v>12.0</v>
      </c>
      <c r="D7" s="41"/>
      <c r="E7" s="42">
        <f t="shared" si="5"/>
        <v>0.046875</v>
      </c>
      <c r="F7" s="43">
        <v>4.49</v>
      </c>
      <c r="G7" s="42">
        <f t="shared" si="2"/>
        <v>5.986666667</v>
      </c>
      <c r="H7" s="43">
        <f t="shared" si="3"/>
        <v>0.3741666667</v>
      </c>
      <c r="I7" s="44" t="s">
        <v>54</v>
      </c>
      <c r="J7" s="43">
        <f t="shared" si="4"/>
        <v>0.01319811875</v>
      </c>
      <c r="K7" s="41"/>
    </row>
    <row r="8" ht="22.5" customHeight="1">
      <c r="A8" s="41" t="s">
        <v>60</v>
      </c>
      <c r="B8" s="42">
        <f t="shared" si="1"/>
        <v>0.75</v>
      </c>
      <c r="C8" s="42">
        <v>12.0</v>
      </c>
      <c r="D8" s="41"/>
      <c r="E8" s="42">
        <f t="shared" si="5"/>
        <v>0.046875</v>
      </c>
      <c r="F8" s="43">
        <v>4.49</v>
      </c>
      <c r="G8" s="42">
        <f t="shared" si="2"/>
        <v>5.986666667</v>
      </c>
      <c r="H8" s="43">
        <f t="shared" si="3"/>
        <v>0.3741666667</v>
      </c>
      <c r="I8" s="44" t="s">
        <v>54</v>
      </c>
      <c r="J8" s="43">
        <f t="shared" si="4"/>
        <v>0.01319811875</v>
      </c>
      <c r="K8" s="41"/>
    </row>
    <row r="9" ht="22.5" customHeight="1">
      <c r="A9" s="41" t="s">
        <v>61</v>
      </c>
      <c r="B9" s="42">
        <f t="shared" si="1"/>
        <v>0.75</v>
      </c>
      <c r="C9" s="42">
        <v>12.0</v>
      </c>
      <c r="D9" s="41"/>
      <c r="E9" s="42">
        <f t="shared" si="5"/>
        <v>0.046875</v>
      </c>
      <c r="F9" s="43">
        <v>4.49</v>
      </c>
      <c r="G9" s="42">
        <f t="shared" si="2"/>
        <v>5.986666667</v>
      </c>
      <c r="H9" s="43">
        <f t="shared" si="3"/>
        <v>0.3741666667</v>
      </c>
      <c r="I9" s="44" t="s">
        <v>54</v>
      </c>
      <c r="J9" s="43">
        <f t="shared" si="4"/>
        <v>0.01319811875</v>
      </c>
      <c r="K9" s="41"/>
    </row>
    <row r="10" ht="22.5" customHeight="1">
      <c r="A10" s="41" t="s">
        <v>62</v>
      </c>
      <c r="B10" s="42">
        <f t="shared" si="1"/>
        <v>2</v>
      </c>
      <c r="C10" s="42">
        <v>32.0</v>
      </c>
      <c r="D10" s="41"/>
      <c r="E10" s="42">
        <f t="shared" si="5"/>
        <v>0.125</v>
      </c>
      <c r="F10" s="43">
        <v>8.5</v>
      </c>
      <c r="G10" s="42">
        <f t="shared" si="2"/>
        <v>4.25</v>
      </c>
      <c r="H10" s="43">
        <f t="shared" si="3"/>
        <v>0.265625</v>
      </c>
      <c r="I10" s="44" t="s">
        <v>54</v>
      </c>
      <c r="J10" s="43">
        <f t="shared" si="4"/>
        <v>0.009369488536</v>
      </c>
      <c r="K10" s="41"/>
    </row>
    <row r="11" ht="22.5" customHeight="1">
      <c r="A11" s="41" t="s">
        <v>63</v>
      </c>
      <c r="B11" s="42">
        <f t="shared" si="1"/>
        <v>5</v>
      </c>
      <c r="C11" s="42">
        <v>80.0</v>
      </c>
      <c r="D11" s="41"/>
      <c r="E11" s="42">
        <f t="shared" si="5"/>
        <v>0.3125</v>
      </c>
      <c r="F11" s="43">
        <v>16.5</v>
      </c>
      <c r="G11" s="42">
        <f t="shared" si="2"/>
        <v>3.3</v>
      </c>
      <c r="H11" s="43">
        <f t="shared" si="3"/>
        <v>0.20625</v>
      </c>
      <c r="I11" s="44" t="s">
        <v>54</v>
      </c>
      <c r="J11" s="43">
        <f t="shared" si="4"/>
        <v>0.007275132275</v>
      </c>
      <c r="K11" s="41"/>
    </row>
    <row r="12" ht="22.5" customHeight="1">
      <c r="A12" s="41" t="s">
        <v>64</v>
      </c>
      <c r="B12" s="42">
        <f t="shared" si="1"/>
        <v>5</v>
      </c>
      <c r="C12" s="42">
        <v>80.0</v>
      </c>
      <c r="D12" s="41"/>
      <c r="E12" s="42">
        <f t="shared" si="5"/>
        <v>0.3125</v>
      </c>
      <c r="F12" s="43">
        <v>16.5</v>
      </c>
      <c r="G12" s="42">
        <f t="shared" si="2"/>
        <v>3.3</v>
      </c>
      <c r="H12" s="43">
        <f t="shared" si="3"/>
        <v>0.20625</v>
      </c>
      <c r="I12" s="44" t="s">
        <v>54</v>
      </c>
      <c r="J12" s="43">
        <f t="shared" si="4"/>
        <v>0.007275132275</v>
      </c>
      <c r="K12" s="41"/>
    </row>
    <row r="13" ht="22.5" customHeight="1">
      <c r="A13" s="41" t="s">
        <v>65</v>
      </c>
      <c r="B13" s="42">
        <f t="shared" si="1"/>
        <v>5</v>
      </c>
      <c r="C13" s="42">
        <v>80.0</v>
      </c>
      <c r="D13" s="41"/>
      <c r="E13" s="42"/>
      <c r="F13" s="43">
        <v>18.0</v>
      </c>
      <c r="G13" s="42">
        <f t="shared" si="2"/>
        <v>3.6</v>
      </c>
      <c r="H13" s="43">
        <f t="shared" si="3"/>
        <v>0.225</v>
      </c>
      <c r="I13" s="44" t="s">
        <v>54</v>
      </c>
      <c r="J13" s="43">
        <f t="shared" si="4"/>
        <v>0.007936507937</v>
      </c>
      <c r="K13" s="41"/>
    </row>
    <row r="14" ht="22.5" customHeight="1">
      <c r="A14" s="41" t="s">
        <v>66</v>
      </c>
      <c r="B14" s="42">
        <f t="shared" si="1"/>
        <v>5</v>
      </c>
      <c r="C14" s="42">
        <v>80.0</v>
      </c>
      <c r="D14" s="41"/>
      <c r="E14" s="42">
        <f t="shared" ref="E14:E16" si="6">B14/16</f>
        <v>0.3125</v>
      </c>
      <c r="F14" s="43">
        <v>16.5</v>
      </c>
      <c r="G14" s="42">
        <f t="shared" si="2"/>
        <v>3.3</v>
      </c>
      <c r="H14" s="43">
        <f t="shared" si="3"/>
        <v>0.20625</v>
      </c>
      <c r="I14" s="44" t="s">
        <v>54</v>
      </c>
      <c r="J14" s="43">
        <f t="shared" si="4"/>
        <v>0.007275132275</v>
      </c>
      <c r="K14" s="41"/>
    </row>
    <row r="15" ht="22.5" customHeight="1">
      <c r="A15" s="41" t="s">
        <v>67</v>
      </c>
      <c r="B15" s="42">
        <f t="shared" si="1"/>
        <v>2</v>
      </c>
      <c r="C15" s="42">
        <v>32.0</v>
      </c>
      <c r="D15" s="41"/>
      <c r="E15" s="42">
        <f t="shared" si="6"/>
        <v>0.125</v>
      </c>
      <c r="F15" s="43">
        <v>27.3</v>
      </c>
      <c r="G15" s="42">
        <f t="shared" si="2"/>
        <v>13.65</v>
      </c>
      <c r="H15" s="43">
        <f t="shared" si="3"/>
        <v>0.853125</v>
      </c>
      <c r="I15" s="44" t="s">
        <v>54</v>
      </c>
      <c r="J15" s="43">
        <f t="shared" si="4"/>
        <v>0.03009259259</v>
      </c>
      <c r="K15" s="41"/>
    </row>
    <row r="16" ht="22.5" customHeight="1">
      <c r="A16" s="41" t="s">
        <v>68</v>
      </c>
      <c r="B16" s="42">
        <f t="shared" si="1"/>
        <v>1</v>
      </c>
      <c r="C16" s="42">
        <v>16.0</v>
      </c>
      <c r="D16" s="41"/>
      <c r="E16" s="42">
        <f t="shared" si="6"/>
        <v>0.0625</v>
      </c>
      <c r="F16" s="43">
        <v>10.0</v>
      </c>
      <c r="G16" s="42">
        <f t="shared" si="2"/>
        <v>10</v>
      </c>
      <c r="H16" s="43">
        <f t="shared" si="3"/>
        <v>0.625</v>
      </c>
      <c r="I16" s="44" t="s">
        <v>54</v>
      </c>
      <c r="J16" s="43">
        <f t="shared" si="4"/>
        <v>0.02204585538</v>
      </c>
      <c r="K16" s="41"/>
    </row>
    <row r="17" ht="22.5" customHeight="1">
      <c r="A17" s="41" t="s">
        <v>69</v>
      </c>
      <c r="B17" s="42">
        <f t="shared" si="1"/>
        <v>0.875</v>
      </c>
      <c r="C17" s="42">
        <v>14.0</v>
      </c>
      <c r="D17" s="41"/>
      <c r="E17" s="42"/>
      <c r="F17" s="43">
        <v>3.49</v>
      </c>
      <c r="G17" s="42">
        <f t="shared" si="2"/>
        <v>3.988571429</v>
      </c>
      <c r="H17" s="43">
        <f t="shared" si="3"/>
        <v>0.2492857143</v>
      </c>
      <c r="I17" s="44" t="s">
        <v>54</v>
      </c>
      <c r="J17" s="43">
        <f t="shared" si="4"/>
        <v>0.008793146888</v>
      </c>
      <c r="K17" s="41"/>
    </row>
    <row r="18" ht="22.5" customHeight="1">
      <c r="A18" s="41" t="s">
        <v>70</v>
      </c>
      <c r="B18" s="42">
        <f t="shared" si="1"/>
        <v>0.46875</v>
      </c>
      <c r="C18" s="42">
        <v>7.5</v>
      </c>
      <c r="D18" s="41"/>
      <c r="E18" s="42">
        <f>B18/16</f>
        <v>0.029296875</v>
      </c>
      <c r="F18" s="43">
        <v>6.99</v>
      </c>
      <c r="G18" s="42">
        <f t="shared" si="2"/>
        <v>14.912</v>
      </c>
      <c r="H18" s="43">
        <f t="shared" si="3"/>
        <v>0.932</v>
      </c>
      <c r="I18" s="44" t="s">
        <v>54</v>
      </c>
      <c r="J18" s="43">
        <f t="shared" si="4"/>
        <v>0.03287477954</v>
      </c>
      <c r="K18" s="41"/>
    </row>
    <row r="19" ht="22.5" customHeight="1">
      <c r="A19" s="41" t="s">
        <v>71</v>
      </c>
      <c r="B19" s="42">
        <f t="shared" si="1"/>
        <v>1.05625</v>
      </c>
      <c r="C19" s="42">
        <v>16.9</v>
      </c>
      <c r="D19" s="41"/>
      <c r="E19" s="42"/>
      <c r="F19" s="43">
        <v>14.99</v>
      </c>
      <c r="G19" s="42">
        <f t="shared" si="2"/>
        <v>14.19171598</v>
      </c>
      <c r="H19" s="43">
        <f t="shared" si="3"/>
        <v>0.8869822485</v>
      </c>
      <c r="I19" s="44" t="s">
        <v>54</v>
      </c>
      <c r="J19" s="43">
        <f t="shared" si="4"/>
        <v>0.0312868518</v>
      </c>
      <c r="K19" s="41"/>
    </row>
    <row r="20" ht="22.5" customHeight="1">
      <c r="A20" s="41" t="s">
        <v>72</v>
      </c>
      <c r="B20" s="42">
        <f t="shared" si="1"/>
        <v>1.05625</v>
      </c>
      <c r="C20" s="42">
        <v>16.9</v>
      </c>
      <c r="D20" s="41"/>
      <c r="E20" s="42"/>
      <c r="F20" s="43">
        <v>14.99</v>
      </c>
      <c r="G20" s="42">
        <f t="shared" si="2"/>
        <v>14.19171598</v>
      </c>
      <c r="H20" s="43">
        <f t="shared" si="3"/>
        <v>0.8869822485</v>
      </c>
      <c r="I20" s="44" t="s">
        <v>54</v>
      </c>
      <c r="J20" s="43">
        <f t="shared" si="4"/>
        <v>0.0312868518</v>
      </c>
      <c r="K20" s="41"/>
    </row>
    <row r="21" ht="22.5" customHeight="1">
      <c r="A21" s="41" t="s">
        <v>73</v>
      </c>
      <c r="B21" s="42">
        <f t="shared" si="1"/>
        <v>1.1325</v>
      </c>
      <c r="C21" s="42">
        <v>18.12</v>
      </c>
      <c r="D21" s="41"/>
      <c r="E21" s="42"/>
      <c r="F21" s="43">
        <v>4.99</v>
      </c>
      <c r="G21" s="42">
        <f t="shared" si="2"/>
        <v>4.406181015</v>
      </c>
      <c r="H21" s="43">
        <f t="shared" si="3"/>
        <v>0.2753863135</v>
      </c>
      <c r="I21" s="44" t="s">
        <v>54</v>
      </c>
      <c r="J21" s="43">
        <f t="shared" si="4"/>
        <v>0.009713802944</v>
      </c>
      <c r="K21" s="41"/>
    </row>
    <row r="22" ht="22.5" customHeight="1">
      <c r="A22" s="41" t="s">
        <v>74</v>
      </c>
      <c r="B22" s="42">
        <f t="shared" si="1"/>
        <v>2</v>
      </c>
      <c r="C22" s="42">
        <v>32.0</v>
      </c>
      <c r="D22" s="41"/>
      <c r="E22" s="42"/>
      <c r="F22" s="43">
        <v>5.79</v>
      </c>
      <c r="G22" s="42">
        <f t="shared" si="2"/>
        <v>2.895</v>
      </c>
      <c r="H22" s="43">
        <f t="shared" si="3"/>
        <v>0.1809375</v>
      </c>
      <c r="I22" s="44" t="s">
        <v>54</v>
      </c>
      <c r="J22" s="43">
        <f t="shared" si="4"/>
        <v>0.006382275132</v>
      </c>
      <c r="K22" s="41"/>
    </row>
    <row r="23" ht="22.5" customHeight="1">
      <c r="A23" s="41" t="s">
        <v>75</v>
      </c>
      <c r="B23" s="42">
        <f t="shared" si="1"/>
        <v>1</v>
      </c>
      <c r="C23" s="42">
        <v>16.0</v>
      </c>
      <c r="D23" s="41"/>
      <c r="E23" s="42">
        <f>B23/16</f>
        <v>0.0625</v>
      </c>
      <c r="F23" s="43">
        <v>3.19</v>
      </c>
      <c r="G23" s="42">
        <f t="shared" si="2"/>
        <v>3.19</v>
      </c>
      <c r="H23" s="43">
        <f t="shared" si="3"/>
        <v>0.199375</v>
      </c>
      <c r="I23" s="44" t="s">
        <v>54</v>
      </c>
      <c r="J23" s="43">
        <f t="shared" si="4"/>
        <v>0.007032627866</v>
      </c>
      <c r="K23" s="41"/>
    </row>
    <row r="24" ht="22.5" customHeight="1">
      <c r="A24" s="41" t="s">
        <v>76</v>
      </c>
      <c r="B24" s="42">
        <f t="shared" si="1"/>
        <v>2</v>
      </c>
      <c r="C24" s="42">
        <v>32.0</v>
      </c>
      <c r="D24" s="41"/>
      <c r="E24" s="42"/>
      <c r="F24" s="43">
        <v>19.99</v>
      </c>
      <c r="G24" s="42">
        <f t="shared" si="2"/>
        <v>9.995</v>
      </c>
      <c r="H24" s="43">
        <f t="shared" si="3"/>
        <v>0.6246875</v>
      </c>
      <c r="I24" s="44" t="s">
        <v>54</v>
      </c>
      <c r="J24" s="43">
        <f t="shared" si="4"/>
        <v>0.02203483245</v>
      </c>
      <c r="K24" s="41"/>
    </row>
    <row r="25" ht="22.5" customHeight="1">
      <c r="A25" s="41" t="s">
        <v>77</v>
      </c>
      <c r="B25" s="42">
        <f t="shared" si="1"/>
        <v>1</v>
      </c>
      <c r="C25" s="42">
        <v>16.0</v>
      </c>
      <c r="D25" s="41"/>
      <c r="E25" s="42">
        <f t="shared" ref="E25:E26" si="7">B25/16</f>
        <v>0.0625</v>
      </c>
      <c r="F25" s="43">
        <v>6.05</v>
      </c>
      <c r="G25" s="42">
        <f t="shared" si="2"/>
        <v>6.05</v>
      </c>
      <c r="H25" s="43">
        <f t="shared" si="3"/>
        <v>0.378125</v>
      </c>
      <c r="I25" s="44" t="s">
        <v>54</v>
      </c>
      <c r="J25" s="43">
        <f t="shared" si="4"/>
        <v>0.0133377425</v>
      </c>
      <c r="K25" s="41"/>
    </row>
    <row r="26" ht="22.5" customHeight="1">
      <c r="A26" s="41" t="s">
        <v>78</v>
      </c>
      <c r="B26" s="42">
        <f t="shared" si="1"/>
        <v>0.5</v>
      </c>
      <c r="C26" s="42">
        <v>8.0</v>
      </c>
      <c r="D26" s="41"/>
      <c r="E26" s="42">
        <f t="shared" si="7"/>
        <v>0.03125</v>
      </c>
      <c r="F26" s="43">
        <v>3.29</v>
      </c>
      <c r="G26" s="42">
        <f t="shared" si="2"/>
        <v>6.58</v>
      </c>
      <c r="H26" s="43">
        <f t="shared" si="3"/>
        <v>0.41125</v>
      </c>
      <c r="I26" s="44" t="s">
        <v>54</v>
      </c>
      <c r="J26" s="43">
        <f t="shared" si="4"/>
        <v>0.01450617284</v>
      </c>
      <c r="K26" s="41"/>
    </row>
    <row r="27" ht="22.5" customHeight="1">
      <c r="A27" s="41" t="s">
        <v>79</v>
      </c>
      <c r="B27" s="42">
        <f t="shared" si="1"/>
        <v>0.75</v>
      </c>
      <c r="C27" s="42">
        <v>12.0</v>
      </c>
      <c r="D27" s="41"/>
      <c r="E27" s="42"/>
      <c r="F27" s="43">
        <v>1.49</v>
      </c>
      <c r="G27" s="42">
        <f t="shared" si="2"/>
        <v>1.986666667</v>
      </c>
      <c r="H27" s="43">
        <f t="shared" si="3"/>
        <v>0.1241666667</v>
      </c>
      <c r="I27" s="44" t="s">
        <v>54</v>
      </c>
      <c r="J27" s="43">
        <f t="shared" si="4"/>
        <v>0.004379776602</v>
      </c>
      <c r="K27" s="41"/>
    </row>
    <row r="28" ht="22.5" customHeight="1">
      <c r="A28" s="41" t="s">
        <v>80</v>
      </c>
      <c r="B28" s="42">
        <f t="shared" si="1"/>
        <v>2</v>
      </c>
      <c r="C28" s="42">
        <v>32.0</v>
      </c>
      <c r="D28" s="41"/>
      <c r="E28" s="42">
        <f t="shared" ref="E28:E29" si="8">B28/16</f>
        <v>0.125</v>
      </c>
      <c r="F28" s="43">
        <v>5.69</v>
      </c>
      <c r="G28" s="42">
        <f t="shared" si="2"/>
        <v>2.845</v>
      </c>
      <c r="H28" s="43">
        <f t="shared" si="3"/>
        <v>0.1778125</v>
      </c>
      <c r="I28" s="44" t="s">
        <v>54</v>
      </c>
      <c r="J28" s="43">
        <f t="shared" si="4"/>
        <v>0.006272045855</v>
      </c>
      <c r="K28" s="41"/>
    </row>
    <row r="29" ht="22.5" customHeight="1">
      <c r="A29" s="41" t="s">
        <v>81</v>
      </c>
      <c r="B29" s="42">
        <f t="shared" si="1"/>
        <v>4</v>
      </c>
      <c r="C29" s="42">
        <v>64.0</v>
      </c>
      <c r="D29" s="41"/>
      <c r="E29" s="42">
        <f t="shared" si="8"/>
        <v>0.25</v>
      </c>
      <c r="F29" s="43">
        <v>3.59</v>
      </c>
      <c r="G29" s="42">
        <f t="shared" si="2"/>
        <v>0.8975</v>
      </c>
      <c r="H29" s="43">
        <f t="shared" si="3"/>
        <v>0.05609375</v>
      </c>
      <c r="I29" s="44" t="s">
        <v>54</v>
      </c>
      <c r="J29" s="43">
        <f t="shared" si="4"/>
        <v>0.00197861552</v>
      </c>
      <c r="K29" s="41"/>
    </row>
    <row r="30" ht="22.5" customHeight="1">
      <c r="A30" s="41" t="s">
        <v>82</v>
      </c>
      <c r="B30" s="42">
        <f t="shared" si="1"/>
        <v>1</v>
      </c>
      <c r="C30" s="42">
        <v>16.0</v>
      </c>
      <c r="D30" s="41"/>
      <c r="E30" s="42"/>
      <c r="F30" s="43">
        <v>3.39</v>
      </c>
      <c r="G30" s="42">
        <f t="shared" si="2"/>
        <v>3.39</v>
      </c>
      <c r="H30" s="43">
        <f t="shared" si="3"/>
        <v>0.211875</v>
      </c>
      <c r="I30" s="44" t="s">
        <v>54</v>
      </c>
      <c r="J30" s="43">
        <f t="shared" si="4"/>
        <v>0.007473544974</v>
      </c>
      <c r="K30" s="41"/>
    </row>
    <row r="31" ht="22.5" customHeight="1">
      <c r="A31" s="41" t="s">
        <v>83</v>
      </c>
      <c r="B31" s="42">
        <f t="shared" si="1"/>
        <v>2</v>
      </c>
      <c r="C31" s="42">
        <v>32.0</v>
      </c>
      <c r="D31" s="41"/>
      <c r="E31" s="42">
        <f t="shared" ref="E31:E33" si="9">B31/16</f>
        <v>0.125</v>
      </c>
      <c r="F31" s="43">
        <v>3.69</v>
      </c>
      <c r="G31" s="42">
        <f t="shared" si="2"/>
        <v>1.845</v>
      </c>
      <c r="H31" s="43">
        <f t="shared" si="3"/>
        <v>0.1153125</v>
      </c>
      <c r="I31" s="44" t="s">
        <v>54</v>
      </c>
      <c r="J31" s="43">
        <f t="shared" si="4"/>
        <v>0.004067460317</v>
      </c>
      <c r="K31" s="41"/>
    </row>
    <row r="32" ht="22.5" customHeight="1">
      <c r="A32" s="41" t="s">
        <v>84</v>
      </c>
      <c r="B32" s="42">
        <f t="shared" si="1"/>
        <v>0.375</v>
      </c>
      <c r="C32" s="42">
        <v>6.0</v>
      </c>
      <c r="D32" s="41"/>
      <c r="E32" s="42">
        <f t="shared" si="9"/>
        <v>0.0234375</v>
      </c>
      <c r="F32" s="43">
        <v>3.59</v>
      </c>
      <c r="G32" s="42">
        <f t="shared" si="2"/>
        <v>9.573333333</v>
      </c>
      <c r="H32" s="43">
        <f t="shared" si="3"/>
        <v>0.5983333333</v>
      </c>
      <c r="I32" s="44" t="s">
        <v>54</v>
      </c>
      <c r="J32" s="43">
        <f t="shared" si="4"/>
        <v>0.02110523222</v>
      </c>
      <c r="K32" s="41"/>
    </row>
    <row r="33" ht="22.5" customHeight="1">
      <c r="A33" s="41" t="s">
        <v>85</v>
      </c>
      <c r="B33" s="42">
        <f t="shared" si="1"/>
        <v>1</v>
      </c>
      <c r="C33" s="42">
        <v>16.0</v>
      </c>
      <c r="D33" s="41"/>
      <c r="E33" s="42">
        <f t="shared" si="9"/>
        <v>0.0625</v>
      </c>
      <c r="F33" s="43">
        <v>6.49</v>
      </c>
      <c r="G33" s="42">
        <f t="shared" si="2"/>
        <v>6.49</v>
      </c>
      <c r="H33" s="43">
        <f t="shared" si="3"/>
        <v>0.405625</v>
      </c>
      <c r="I33" s="44" t="s">
        <v>54</v>
      </c>
      <c r="J33" s="43">
        <f t="shared" si="4"/>
        <v>0.01430776014</v>
      </c>
      <c r="K33" s="41"/>
    </row>
    <row r="34" ht="22.5" customHeight="1">
      <c r="A34" s="41" t="s">
        <v>86</v>
      </c>
      <c r="B34" s="42">
        <f t="shared" si="1"/>
        <v>0.75</v>
      </c>
      <c r="C34" s="42">
        <v>12.0</v>
      </c>
      <c r="D34" s="41"/>
      <c r="E34" s="42"/>
      <c r="F34" s="43">
        <v>4.45</v>
      </c>
      <c r="G34" s="42">
        <f t="shared" si="2"/>
        <v>5.933333333</v>
      </c>
      <c r="H34" s="43">
        <f t="shared" si="3"/>
        <v>0.3708333333</v>
      </c>
      <c r="I34" s="44" t="s">
        <v>54</v>
      </c>
      <c r="J34" s="43">
        <f t="shared" si="4"/>
        <v>0.01308054086</v>
      </c>
      <c r="K34" s="41"/>
    </row>
    <row r="35" ht="22.5" customHeight="1">
      <c r="A35" s="41" t="s">
        <v>87</v>
      </c>
      <c r="B35" s="42">
        <f t="shared" si="1"/>
        <v>2</v>
      </c>
      <c r="C35" s="42">
        <v>32.0</v>
      </c>
      <c r="D35" s="41"/>
      <c r="E35" s="42"/>
      <c r="F35" s="43">
        <v>6.59</v>
      </c>
      <c r="G35" s="42">
        <f t="shared" si="2"/>
        <v>3.295</v>
      </c>
      <c r="H35" s="43">
        <f t="shared" si="3"/>
        <v>0.2059375</v>
      </c>
      <c r="I35" s="44" t="s">
        <v>54</v>
      </c>
      <c r="J35" s="43">
        <f t="shared" si="4"/>
        <v>0.007264109347</v>
      </c>
      <c r="K35" s="41"/>
    </row>
    <row r="36" ht="22.5" customHeight="1">
      <c r="A36" s="41" t="s">
        <v>88</v>
      </c>
      <c r="B36" s="42">
        <f t="shared" si="1"/>
        <v>1.5</v>
      </c>
      <c r="C36" s="42">
        <v>24.0</v>
      </c>
      <c r="D36" s="45">
        <v>12.0</v>
      </c>
      <c r="E36" s="42">
        <f>B36/16</f>
        <v>0.09375</v>
      </c>
      <c r="F36" s="43">
        <v>4.99</v>
      </c>
      <c r="G36" s="42">
        <f t="shared" si="2"/>
        <v>3.326666667</v>
      </c>
      <c r="H36" s="43">
        <f t="shared" si="3"/>
        <v>0.2079166667</v>
      </c>
      <c r="I36" s="46">
        <f>F36/D36</f>
        <v>0.4158333333</v>
      </c>
      <c r="J36" s="43">
        <f t="shared" si="4"/>
        <v>0.007333921223</v>
      </c>
      <c r="K36" s="41"/>
    </row>
    <row r="37" ht="22.5" customHeight="1">
      <c r="A37" s="41" t="s">
        <v>89</v>
      </c>
      <c r="B37" s="42">
        <f t="shared" si="1"/>
        <v>1</v>
      </c>
      <c r="C37" s="42">
        <v>16.0</v>
      </c>
      <c r="D37" s="41"/>
      <c r="E37" s="42"/>
      <c r="F37" s="43">
        <v>15.85</v>
      </c>
      <c r="G37" s="42">
        <f t="shared" si="2"/>
        <v>15.85</v>
      </c>
      <c r="H37" s="43">
        <f t="shared" si="3"/>
        <v>0.990625</v>
      </c>
      <c r="I37" s="44" t="s">
        <v>54</v>
      </c>
      <c r="J37" s="43">
        <f t="shared" si="4"/>
        <v>0.03494268078</v>
      </c>
      <c r="K37" s="41"/>
    </row>
    <row r="38" ht="22.5" customHeight="1">
      <c r="A38" s="41" t="s">
        <v>90</v>
      </c>
      <c r="B38" s="42">
        <f t="shared" si="1"/>
        <v>0.0625</v>
      </c>
      <c r="C38" s="42">
        <v>1.0</v>
      </c>
      <c r="D38" s="41"/>
      <c r="E38" s="42">
        <f t="shared" ref="E38:E51" si="10">B38/16</f>
        <v>0.00390625</v>
      </c>
      <c r="F38" s="43">
        <v>5.65</v>
      </c>
      <c r="G38" s="42">
        <f t="shared" si="2"/>
        <v>90.4</v>
      </c>
      <c r="H38" s="43">
        <f t="shared" si="3"/>
        <v>5.65</v>
      </c>
      <c r="I38" s="44" t="s">
        <v>54</v>
      </c>
      <c r="J38" s="43">
        <f t="shared" si="4"/>
        <v>0.1992945326</v>
      </c>
      <c r="K38" s="41"/>
    </row>
    <row r="39" ht="22.5" customHeight="1">
      <c r="A39" s="41" t="s">
        <v>91</v>
      </c>
      <c r="B39" s="42">
        <f t="shared" si="1"/>
        <v>0.125</v>
      </c>
      <c r="C39" s="42">
        <v>2.0</v>
      </c>
      <c r="D39" s="41"/>
      <c r="E39" s="42">
        <f t="shared" si="10"/>
        <v>0.0078125</v>
      </c>
      <c r="F39" s="43">
        <v>5.65</v>
      </c>
      <c r="G39" s="42">
        <f t="shared" si="2"/>
        <v>45.2</v>
      </c>
      <c r="H39" s="43">
        <f t="shared" si="3"/>
        <v>2.825</v>
      </c>
      <c r="I39" s="44" t="s">
        <v>54</v>
      </c>
      <c r="J39" s="43">
        <f t="shared" si="4"/>
        <v>0.09964726631</v>
      </c>
      <c r="K39" s="41"/>
    </row>
    <row r="40" ht="22.5" customHeight="1">
      <c r="A40" s="41" t="s">
        <v>92</v>
      </c>
      <c r="B40" s="42">
        <f t="shared" si="1"/>
        <v>0.0625</v>
      </c>
      <c r="C40" s="42">
        <v>1.0</v>
      </c>
      <c r="D40" s="41"/>
      <c r="E40" s="42">
        <f t="shared" si="10"/>
        <v>0.00390625</v>
      </c>
      <c r="F40" s="43">
        <v>5.65</v>
      </c>
      <c r="G40" s="42">
        <f t="shared" si="2"/>
        <v>90.4</v>
      </c>
      <c r="H40" s="43">
        <f t="shared" si="3"/>
        <v>5.65</v>
      </c>
      <c r="I40" s="44" t="s">
        <v>54</v>
      </c>
      <c r="J40" s="43">
        <f t="shared" si="4"/>
        <v>0.1992945326</v>
      </c>
      <c r="K40" s="41"/>
    </row>
    <row r="41" ht="22.5" customHeight="1">
      <c r="A41" s="41" t="s">
        <v>93</v>
      </c>
      <c r="B41" s="42">
        <f t="shared" si="1"/>
        <v>0.0625</v>
      </c>
      <c r="C41" s="42">
        <v>1.0</v>
      </c>
      <c r="D41" s="41"/>
      <c r="E41" s="42">
        <f t="shared" si="10"/>
        <v>0.00390625</v>
      </c>
      <c r="F41" s="43">
        <v>5.65</v>
      </c>
      <c r="G41" s="42">
        <f t="shared" si="2"/>
        <v>90.4</v>
      </c>
      <c r="H41" s="43">
        <f t="shared" si="3"/>
        <v>5.65</v>
      </c>
      <c r="I41" s="44" t="s">
        <v>54</v>
      </c>
      <c r="J41" s="43">
        <f t="shared" si="4"/>
        <v>0.1992945326</v>
      </c>
      <c r="K41" s="41"/>
    </row>
    <row r="42" ht="22.5" customHeight="1">
      <c r="A42" s="41" t="s">
        <v>94</v>
      </c>
      <c r="B42" s="42">
        <f t="shared" si="1"/>
        <v>0.0625</v>
      </c>
      <c r="C42" s="42">
        <v>1.0</v>
      </c>
      <c r="D42" s="41"/>
      <c r="E42" s="42">
        <f t="shared" si="10"/>
        <v>0.00390625</v>
      </c>
      <c r="F42" s="43">
        <v>5.65</v>
      </c>
      <c r="G42" s="42">
        <f t="shared" si="2"/>
        <v>90.4</v>
      </c>
      <c r="H42" s="43">
        <f t="shared" si="3"/>
        <v>5.65</v>
      </c>
      <c r="I42" s="44" t="s">
        <v>54</v>
      </c>
      <c r="J42" s="43">
        <f t="shared" si="4"/>
        <v>0.1992945326</v>
      </c>
      <c r="K42" s="41"/>
    </row>
    <row r="43" ht="22.5" customHeight="1">
      <c r="A43" s="41" t="s">
        <v>95</v>
      </c>
      <c r="B43" s="42">
        <f t="shared" si="1"/>
        <v>2</v>
      </c>
      <c r="C43" s="42">
        <v>32.0</v>
      </c>
      <c r="D43" s="41"/>
      <c r="E43" s="42">
        <f t="shared" si="10"/>
        <v>0.125</v>
      </c>
      <c r="F43" s="43">
        <v>9.97</v>
      </c>
      <c r="G43" s="42">
        <f t="shared" si="2"/>
        <v>4.985</v>
      </c>
      <c r="H43" s="43">
        <f t="shared" si="3"/>
        <v>0.3115625</v>
      </c>
      <c r="I43" s="44" t="s">
        <v>54</v>
      </c>
      <c r="J43" s="43">
        <f t="shared" si="4"/>
        <v>0.01098985891</v>
      </c>
      <c r="K43" s="41"/>
    </row>
    <row r="44" ht="22.5" customHeight="1">
      <c r="A44" s="41" t="s">
        <v>96</v>
      </c>
      <c r="B44" s="42">
        <f t="shared" si="1"/>
        <v>0.220625</v>
      </c>
      <c r="C44" s="42">
        <v>3.53</v>
      </c>
      <c r="D44" s="41"/>
      <c r="E44" s="42">
        <f t="shared" si="10"/>
        <v>0.0137890625</v>
      </c>
      <c r="F44" s="43">
        <v>14.98</v>
      </c>
      <c r="G44" s="42">
        <f t="shared" si="2"/>
        <v>67.898017</v>
      </c>
      <c r="H44" s="43">
        <f t="shared" si="3"/>
        <v>4.243626062</v>
      </c>
      <c r="I44" s="44" t="s">
        <v>54</v>
      </c>
      <c r="J44" s="43">
        <f t="shared" si="4"/>
        <v>0.1496869863</v>
      </c>
      <c r="K44" s="41"/>
    </row>
    <row r="45" ht="22.5" customHeight="1">
      <c r="A45" s="41" t="s">
        <v>97</v>
      </c>
      <c r="B45" s="42">
        <f t="shared" si="1"/>
        <v>0.0625</v>
      </c>
      <c r="C45" s="42">
        <v>1.0</v>
      </c>
      <c r="D45" s="41"/>
      <c r="E45" s="42">
        <f t="shared" si="10"/>
        <v>0.00390625</v>
      </c>
      <c r="F45" s="43">
        <v>5.99</v>
      </c>
      <c r="G45" s="42">
        <f t="shared" si="2"/>
        <v>95.84</v>
      </c>
      <c r="H45" s="43">
        <f t="shared" si="3"/>
        <v>5.99</v>
      </c>
      <c r="I45" s="44" t="s">
        <v>54</v>
      </c>
      <c r="J45" s="43">
        <f t="shared" si="4"/>
        <v>0.211287478</v>
      </c>
      <c r="K45" s="41"/>
    </row>
    <row r="46" ht="22.5" customHeight="1">
      <c r="A46" s="41" t="s">
        <v>98</v>
      </c>
      <c r="B46" s="42">
        <f t="shared" si="1"/>
        <v>10</v>
      </c>
      <c r="C46" s="42">
        <v>160.0</v>
      </c>
      <c r="D46" s="41"/>
      <c r="E46" s="42">
        <f t="shared" si="10"/>
        <v>0.625</v>
      </c>
      <c r="F46" s="43">
        <v>6.49</v>
      </c>
      <c r="G46" s="42">
        <f t="shared" si="2"/>
        <v>0.649</v>
      </c>
      <c r="H46" s="43">
        <f t="shared" si="3"/>
        <v>0.0405625</v>
      </c>
      <c r="I46" s="44" t="s">
        <v>54</v>
      </c>
      <c r="J46" s="43">
        <f t="shared" si="4"/>
        <v>0.001430776014</v>
      </c>
      <c r="K46" s="41"/>
    </row>
    <row r="47" ht="22.5" customHeight="1">
      <c r="A47" s="41" t="s">
        <v>99</v>
      </c>
      <c r="B47" s="42">
        <f t="shared" si="1"/>
        <v>1</v>
      </c>
      <c r="C47" s="42">
        <v>16.0</v>
      </c>
      <c r="D47" s="41"/>
      <c r="E47" s="42">
        <f t="shared" si="10"/>
        <v>0.0625</v>
      </c>
      <c r="F47" s="43">
        <v>6.39</v>
      </c>
      <c r="G47" s="42">
        <f t="shared" si="2"/>
        <v>6.39</v>
      </c>
      <c r="H47" s="43">
        <f t="shared" si="3"/>
        <v>0.399375</v>
      </c>
      <c r="I47" s="44" t="s">
        <v>54</v>
      </c>
      <c r="J47" s="43">
        <f t="shared" si="4"/>
        <v>0.01408730159</v>
      </c>
      <c r="K47" s="41"/>
    </row>
    <row r="48" ht="22.5" customHeight="1">
      <c r="A48" s="41" t="s">
        <v>100</v>
      </c>
      <c r="B48" s="42">
        <f t="shared" si="1"/>
        <v>10</v>
      </c>
      <c r="C48" s="42">
        <v>160.0</v>
      </c>
      <c r="D48" s="41"/>
      <c r="E48" s="42">
        <f t="shared" si="10"/>
        <v>0.625</v>
      </c>
      <c r="F48" s="43">
        <v>6.49</v>
      </c>
      <c r="G48" s="42">
        <f t="shared" si="2"/>
        <v>0.649</v>
      </c>
      <c r="H48" s="43">
        <f t="shared" si="3"/>
        <v>0.0405625</v>
      </c>
      <c r="I48" s="44" t="s">
        <v>54</v>
      </c>
      <c r="J48" s="43">
        <f t="shared" si="4"/>
        <v>0.001430776014</v>
      </c>
      <c r="K48" s="41"/>
    </row>
    <row r="49" ht="22.5" customHeight="1">
      <c r="A49" s="41" t="s">
        <v>101</v>
      </c>
      <c r="B49" s="42">
        <f t="shared" si="1"/>
        <v>1.625</v>
      </c>
      <c r="C49" s="42">
        <v>26.0</v>
      </c>
      <c r="D49" s="41"/>
      <c r="E49" s="42">
        <f t="shared" si="10"/>
        <v>0.1015625</v>
      </c>
      <c r="F49" s="43">
        <v>4.35</v>
      </c>
      <c r="G49" s="42">
        <f t="shared" si="2"/>
        <v>2.676923077</v>
      </c>
      <c r="H49" s="43">
        <f t="shared" si="3"/>
        <v>0.1673076923</v>
      </c>
      <c r="I49" s="44" t="s">
        <v>54</v>
      </c>
      <c r="J49" s="43">
        <f t="shared" si="4"/>
        <v>0.005901505902</v>
      </c>
      <c r="K49" s="41"/>
    </row>
    <row r="50" ht="22.5" customHeight="1">
      <c r="A50" s="41" t="s">
        <v>102</v>
      </c>
      <c r="B50" s="42">
        <f t="shared" si="1"/>
        <v>5</v>
      </c>
      <c r="C50" s="42">
        <v>80.0</v>
      </c>
      <c r="D50" s="41"/>
      <c r="E50" s="42">
        <f t="shared" si="10"/>
        <v>0.3125</v>
      </c>
      <c r="F50" s="43">
        <v>3.69</v>
      </c>
      <c r="G50" s="42">
        <f t="shared" si="2"/>
        <v>0.738</v>
      </c>
      <c r="H50" s="43">
        <f t="shared" si="3"/>
        <v>0.046125</v>
      </c>
      <c r="I50" s="44" t="s">
        <v>54</v>
      </c>
      <c r="J50" s="43">
        <f t="shared" si="4"/>
        <v>0.001626984127</v>
      </c>
      <c r="K50" s="41"/>
    </row>
    <row r="51" ht="22.5" customHeight="1">
      <c r="A51" s="41" t="s">
        <v>103</v>
      </c>
      <c r="B51" s="42">
        <f t="shared" si="1"/>
        <v>3</v>
      </c>
      <c r="C51" s="42">
        <v>48.0</v>
      </c>
      <c r="D51" s="45">
        <v>8.0</v>
      </c>
      <c r="E51" s="42">
        <f t="shared" si="10"/>
        <v>0.1875</v>
      </c>
      <c r="F51" s="43">
        <v>4.99</v>
      </c>
      <c r="G51" s="42">
        <f t="shared" si="2"/>
        <v>1.663333333</v>
      </c>
      <c r="H51" s="43">
        <f t="shared" si="3"/>
        <v>0.1039583333</v>
      </c>
      <c r="I51" s="46">
        <f>F51/D51</f>
        <v>0.62375</v>
      </c>
      <c r="J51" s="43">
        <f t="shared" si="4"/>
        <v>0.003666960611</v>
      </c>
      <c r="K51" s="41"/>
    </row>
    <row r="52" ht="22.5" customHeight="1">
      <c r="A52" s="41" t="s">
        <v>104</v>
      </c>
      <c r="B52" s="42">
        <f t="shared" si="1"/>
        <v>3</v>
      </c>
      <c r="C52" s="42">
        <v>48.0</v>
      </c>
      <c r="D52" s="41"/>
      <c r="E52" s="42"/>
      <c r="F52" s="43">
        <v>4.59</v>
      </c>
      <c r="G52" s="42">
        <f t="shared" si="2"/>
        <v>1.53</v>
      </c>
      <c r="H52" s="43">
        <f t="shared" si="3"/>
        <v>0.095625</v>
      </c>
      <c r="I52" s="44" t="s">
        <v>54</v>
      </c>
      <c r="J52" s="43">
        <f t="shared" si="4"/>
        <v>0.003373015873</v>
      </c>
      <c r="K52" s="41"/>
    </row>
    <row r="53" ht="22.5" customHeight="1">
      <c r="A53" s="41" t="s">
        <v>105</v>
      </c>
      <c r="B53" s="42">
        <f t="shared" si="1"/>
        <v>0.1875</v>
      </c>
      <c r="C53" s="42">
        <v>3.0</v>
      </c>
      <c r="D53" s="45">
        <v>1.0</v>
      </c>
      <c r="E53" s="42">
        <f t="shared" ref="E53:E54" si="11">B53/16</f>
        <v>0.01171875</v>
      </c>
      <c r="F53" s="43">
        <v>0.26</v>
      </c>
      <c r="G53" s="42">
        <f t="shared" si="2"/>
        <v>1.386666667</v>
      </c>
      <c r="H53" s="43">
        <f t="shared" si="3"/>
        <v>0.08666666667</v>
      </c>
      <c r="I53" s="46">
        <f t="shared" ref="I53:I54" si="12">F53/D53</f>
        <v>0.26</v>
      </c>
      <c r="J53" s="43">
        <f t="shared" si="4"/>
        <v>0.003057025279</v>
      </c>
      <c r="K53" s="41"/>
    </row>
    <row r="54" ht="22.5" customHeight="1">
      <c r="A54" s="41" t="s">
        <v>106</v>
      </c>
      <c r="B54" s="42">
        <f t="shared" si="1"/>
        <v>0.125</v>
      </c>
      <c r="C54" s="42">
        <v>2.0</v>
      </c>
      <c r="D54" s="45">
        <v>1.0</v>
      </c>
      <c r="E54" s="42">
        <f t="shared" si="11"/>
        <v>0.0078125</v>
      </c>
      <c r="F54" s="43">
        <v>0.99</v>
      </c>
      <c r="G54" s="42">
        <f t="shared" si="2"/>
        <v>7.92</v>
      </c>
      <c r="H54" s="43">
        <f t="shared" si="3"/>
        <v>0.495</v>
      </c>
      <c r="I54" s="46">
        <f t="shared" si="12"/>
        <v>0.99</v>
      </c>
      <c r="J54" s="43">
        <f t="shared" si="4"/>
        <v>0.01746031746</v>
      </c>
      <c r="K54" s="41"/>
    </row>
    <row r="55" ht="22.5" customHeight="1">
      <c r="A55" s="41" t="s">
        <v>107</v>
      </c>
      <c r="B55" s="42">
        <f t="shared" si="1"/>
        <v>0.0010625</v>
      </c>
      <c r="C55" s="42">
        <v>0.017</v>
      </c>
      <c r="D55" s="41"/>
      <c r="E55" s="42"/>
      <c r="F55" s="43"/>
      <c r="G55" s="42"/>
      <c r="H55" s="43">
        <f t="shared" si="3"/>
        <v>0</v>
      </c>
      <c r="I55" s="44" t="s">
        <v>54</v>
      </c>
      <c r="J55" s="43">
        <f t="shared" si="4"/>
        <v>0</v>
      </c>
      <c r="K55" s="41" t="s">
        <v>108</v>
      </c>
    </row>
    <row r="56" ht="22.5" customHeight="1">
      <c r="A56" s="41" t="s">
        <v>109</v>
      </c>
      <c r="B56" s="42">
        <f t="shared" si="1"/>
        <v>0.28125</v>
      </c>
      <c r="C56" s="42">
        <v>4.5</v>
      </c>
      <c r="D56" s="45">
        <v>1.0</v>
      </c>
      <c r="E56" s="42">
        <f>B56/16</f>
        <v>0.017578125</v>
      </c>
      <c r="F56" s="43">
        <v>0.6</v>
      </c>
      <c r="G56" s="42">
        <f>F56/B56</f>
        <v>2.133333333</v>
      </c>
      <c r="H56" s="43">
        <f t="shared" si="3"/>
        <v>0.1333333333</v>
      </c>
      <c r="I56" s="46">
        <f>F56/D56</f>
        <v>0.6</v>
      </c>
      <c r="J56" s="43">
        <f t="shared" si="4"/>
        <v>0.004703115814</v>
      </c>
      <c r="K56" s="41"/>
    </row>
    <row r="57" ht="22.5" customHeight="1">
      <c r="A57" s="41" t="s">
        <v>110</v>
      </c>
      <c r="B57" s="42">
        <f t="shared" si="1"/>
        <v>0.0010625</v>
      </c>
      <c r="C57" s="42">
        <v>0.017</v>
      </c>
      <c r="D57" s="41"/>
      <c r="E57" s="42"/>
      <c r="F57" s="43"/>
      <c r="G57" s="42"/>
      <c r="H57" s="43">
        <f t="shared" si="3"/>
        <v>0</v>
      </c>
      <c r="I57" s="44" t="s">
        <v>54</v>
      </c>
      <c r="J57" s="43">
        <v>0.0183</v>
      </c>
      <c r="K57" s="41" t="s">
        <v>108</v>
      </c>
    </row>
    <row r="58" ht="22.5" customHeight="1">
      <c r="A58" s="41" t="s">
        <v>111</v>
      </c>
      <c r="B58" s="42">
        <f t="shared" si="1"/>
        <v>1</v>
      </c>
      <c r="C58" s="42">
        <v>16.0</v>
      </c>
      <c r="D58" s="41"/>
      <c r="E58" s="42"/>
      <c r="F58" s="43">
        <v>20.4</v>
      </c>
      <c r="G58" s="42">
        <f t="shared" ref="G58:G108" si="13">F58/B58</f>
        <v>20.4</v>
      </c>
      <c r="H58" s="43">
        <f t="shared" si="3"/>
        <v>1.275</v>
      </c>
      <c r="I58" s="44" t="s">
        <v>54</v>
      </c>
      <c r="J58" s="43">
        <v>0.0183</v>
      </c>
      <c r="K58" s="41"/>
    </row>
    <row r="59" ht="22.5" customHeight="1">
      <c r="A59" s="41" t="s">
        <v>112</v>
      </c>
      <c r="B59" s="42">
        <f t="shared" si="1"/>
        <v>0.84375</v>
      </c>
      <c r="C59" s="42">
        <v>13.5</v>
      </c>
      <c r="D59" s="41"/>
      <c r="E59" s="42"/>
      <c r="F59" s="43">
        <v>2.49</v>
      </c>
      <c r="G59" s="42">
        <f t="shared" si="13"/>
        <v>2.951111111</v>
      </c>
      <c r="H59" s="43">
        <f t="shared" si="3"/>
        <v>0.1844444444</v>
      </c>
      <c r="I59" s="44" t="s">
        <v>54</v>
      </c>
      <c r="J59" s="43">
        <v>0.0183</v>
      </c>
      <c r="K59" s="41"/>
    </row>
    <row r="60" ht="22.5" customHeight="1">
      <c r="A60" s="41" t="s">
        <v>113</v>
      </c>
      <c r="B60" s="42">
        <f t="shared" si="1"/>
        <v>4</v>
      </c>
      <c r="C60" s="42">
        <v>64.0</v>
      </c>
      <c r="D60" s="41"/>
      <c r="E60" s="42">
        <f t="shared" ref="E60:E66" si="14">B60/16</f>
        <v>0.25</v>
      </c>
      <c r="F60" s="43">
        <v>4.49</v>
      </c>
      <c r="G60" s="42">
        <f t="shared" si="13"/>
        <v>1.1225</v>
      </c>
      <c r="H60" s="43">
        <f t="shared" si="3"/>
        <v>0.07015625</v>
      </c>
      <c r="I60" s="44" t="s">
        <v>54</v>
      </c>
      <c r="J60" s="43">
        <f t="shared" ref="J60:J108" si="15">H60/28.35</f>
        <v>0.002474647266</v>
      </c>
      <c r="K60" s="41"/>
    </row>
    <row r="61" ht="22.5" customHeight="1">
      <c r="A61" s="41" t="s">
        <v>114</v>
      </c>
      <c r="B61" s="42">
        <f t="shared" si="1"/>
        <v>8</v>
      </c>
      <c r="C61" s="42">
        <v>128.0</v>
      </c>
      <c r="D61" s="41"/>
      <c r="E61" s="42">
        <f t="shared" si="14"/>
        <v>0.5</v>
      </c>
      <c r="F61" s="43">
        <v>6.49</v>
      </c>
      <c r="G61" s="42">
        <f t="shared" si="13"/>
        <v>0.81125</v>
      </c>
      <c r="H61" s="43">
        <f t="shared" si="3"/>
        <v>0.050703125</v>
      </c>
      <c r="I61" s="44" t="s">
        <v>54</v>
      </c>
      <c r="J61" s="43">
        <f t="shared" si="15"/>
        <v>0.001788470018</v>
      </c>
      <c r="K61" s="41"/>
    </row>
    <row r="62" ht="22.5" customHeight="1">
      <c r="A62" s="41" t="s">
        <v>115</v>
      </c>
      <c r="B62" s="42">
        <f t="shared" si="1"/>
        <v>0.9375</v>
      </c>
      <c r="C62" s="42">
        <v>15.0</v>
      </c>
      <c r="D62" s="41"/>
      <c r="E62" s="42">
        <f t="shared" si="14"/>
        <v>0.05859375</v>
      </c>
      <c r="F62" s="43">
        <v>3.15</v>
      </c>
      <c r="G62" s="42">
        <f t="shared" si="13"/>
        <v>3.36</v>
      </c>
      <c r="H62" s="43">
        <f t="shared" si="3"/>
        <v>0.21</v>
      </c>
      <c r="I62" s="44" t="s">
        <v>54</v>
      </c>
      <c r="J62" s="43">
        <f t="shared" si="15"/>
        <v>0.007407407407</v>
      </c>
      <c r="K62" s="41"/>
    </row>
    <row r="63" ht="22.5" customHeight="1">
      <c r="A63" s="41" t="s">
        <v>116</v>
      </c>
      <c r="B63" s="42">
        <f t="shared" si="1"/>
        <v>3.25</v>
      </c>
      <c r="C63" s="42">
        <v>52.0</v>
      </c>
      <c r="D63" s="41"/>
      <c r="E63" s="42">
        <f t="shared" si="14"/>
        <v>0.203125</v>
      </c>
      <c r="F63" s="43">
        <v>5.49</v>
      </c>
      <c r="G63" s="42">
        <f t="shared" si="13"/>
        <v>1.689230769</v>
      </c>
      <c r="H63" s="43">
        <f t="shared" si="3"/>
        <v>0.1055769231</v>
      </c>
      <c r="I63" s="44" t="s">
        <v>54</v>
      </c>
      <c r="J63" s="43">
        <f t="shared" si="15"/>
        <v>0.003724053724</v>
      </c>
      <c r="K63" s="41"/>
    </row>
    <row r="64" ht="22.5" customHeight="1">
      <c r="A64" s="41" t="s">
        <v>117</v>
      </c>
      <c r="B64" s="42">
        <f t="shared" si="1"/>
        <v>0.75</v>
      </c>
      <c r="C64" s="42">
        <v>12.0</v>
      </c>
      <c r="D64" s="41"/>
      <c r="E64" s="42">
        <f t="shared" si="14"/>
        <v>0.046875</v>
      </c>
      <c r="F64" s="43">
        <v>3.39</v>
      </c>
      <c r="G64" s="42">
        <f t="shared" si="13"/>
        <v>4.52</v>
      </c>
      <c r="H64" s="43">
        <f t="shared" si="3"/>
        <v>0.2825</v>
      </c>
      <c r="I64" s="44" t="s">
        <v>54</v>
      </c>
      <c r="J64" s="43">
        <f t="shared" si="15"/>
        <v>0.009964726631</v>
      </c>
      <c r="K64" s="41"/>
    </row>
    <row r="65" ht="22.5" customHeight="1">
      <c r="A65" s="41" t="s">
        <v>118</v>
      </c>
      <c r="B65" s="42">
        <f t="shared" si="1"/>
        <v>1</v>
      </c>
      <c r="C65" s="42">
        <v>16.0</v>
      </c>
      <c r="D65" s="41"/>
      <c r="E65" s="42">
        <f t="shared" si="14"/>
        <v>0.0625</v>
      </c>
      <c r="F65" s="43">
        <v>1.55</v>
      </c>
      <c r="G65" s="42">
        <f t="shared" si="13"/>
        <v>1.55</v>
      </c>
      <c r="H65" s="43">
        <f t="shared" si="3"/>
        <v>0.096875</v>
      </c>
      <c r="I65" s="44" t="s">
        <v>54</v>
      </c>
      <c r="J65" s="43">
        <f t="shared" si="15"/>
        <v>0.003417107584</v>
      </c>
      <c r="K65" s="41"/>
    </row>
    <row r="66" ht="22.5" customHeight="1">
      <c r="A66" s="41" t="s">
        <v>119</v>
      </c>
      <c r="B66" s="42">
        <f t="shared" si="1"/>
        <v>1</v>
      </c>
      <c r="C66" s="42">
        <v>16.0</v>
      </c>
      <c r="D66" s="41"/>
      <c r="E66" s="42">
        <f t="shared" si="14"/>
        <v>0.0625</v>
      </c>
      <c r="F66" s="43">
        <v>9.91</v>
      </c>
      <c r="G66" s="42">
        <f t="shared" si="13"/>
        <v>9.91</v>
      </c>
      <c r="H66" s="43">
        <f t="shared" si="3"/>
        <v>0.619375</v>
      </c>
      <c r="I66" s="44" t="s">
        <v>54</v>
      </c>
      <c r="J66" s="43">
        <f t="shared" si="15"/>
        <v>0.02184744268</v>
      </c>
      <c r="K66" s="41"/>
    </row>
    <row r="67" ht="22.5" customHeight="1">
      <c r="A67" s="41" t="s">
        <v>120</v>
      </c>
      <c r="B67" s="42">
        <f t="shared" si="1"/>
        <v>1</v>
      </c>
      <c r="C67" s="42">
        <v>16.0</v>
      </c>
      <c r="D67" s="41"/>
      <c r="E67" s="42"/>
      <c r="F67" s="43">
        <v>3.19</v>
      </c>
      <c r="G67" s="42">
        <f t="shared" si="13"/>
        <v>3.19</v>
      </c>
      <c r="H67" s="43">
        <f t="shared" si="3"/>
        <v>0.199375</v>
      </c>
      <c r="I67" s="44" t="s">
        <v>54</v>
      </c>
      <c r="J67" s="43">
        <f t="shared" si="15"/>
        <v>0.007032627866</v>
      </c>
      <c r="K67" s="41"/>
    </row>
    <row r="68" ht="22.5" customHeight="1">
      <c r="A68" s="41" t="s">
        <v>121</v>
      </c>
      <c r="B68" s="42">
        <f t="shared" si="1"/>
        <v>2</v>
      </c>
      <c r="C68" s="42">
        <v>32.0</v>
      </c>
      <c r="D68" s="41"/>
      <c r="E68" s="42"/>
      <c r="F68" s="43">
        <v>21.59</v>
      </c>
      <c r="G68" s="42">
        <f t="shared" si="13"/>
        <v>10.795</v>
      </c>
      <c r="H68" s="43">
        <f t="shared" si="3"/>
        <v>0.6746875</v>
      </c>
      <c r="I68" s="44" t="s">
        <v>54</v>
      </c>
      <c r="J68" s="43">
        <f t="shared" si="15"/>
        <v>0.02379850088</v>
      </c>
      <c r="K68" s="41"/>
    </row>
    <row r="69" ht="22.5" customHeight="1">
      <c r="A69" s="41" t="s">
        <v>122</v>
      </c>
      <c r="B69" s="42">
        <f t="shared" si="1"/>
        <v>0.3125</v>
      </c>
      <c r="C69" s="42">
        <v>5.0</v>
      </c>
      <c r="D69" s="41"/>
      <c r="E69" s="42">
        <f>B69/16</f>
        <v>0.01953125</v>
      </c>
      <c r="F69" s="43">
        <v>4.49</v>
      </c>
      <c r="G69" s="42">
        <f t="shared" si="13"/>
        <v>14.368</v>
      </c>
      <c r="H69" s="43">
        <f t="shared" si="3"/>
        <v>0.898</v>
      </c>
      <c r="I69" s="44" t="s">
        <v>54</v>
      </c>
      <c r="J69" s="43">
        <f t="shared" si="15"/>
        <v>0.03167548501</v>
      </c>
      <c r="K69" s="41"/>
    </row>
    <row r="70" ht="22.5" customHeight="1">
      <c r="A70" s="41" t="s">
        <v>123</v>
      </c>
      <c r="B70" s="42">
        <f t="shared" si="1"/>
        <v>0.65625</v>
      </c>
      <c r="C70" s="42">
        <v>10.5</v>
      </c>
      <c r="D70" s="41"/>
      <c r="E70" s="42"/>
      <c r="F70" s="43">
        <v>4.99</v>
      </c>
      <c r="G70" s="42">
        <f t="shared" si="13"/>
        <v>7.603809524</v>
      </c>
      <c r="H70" s="43">
        <f t="shared" si="3"/>
        <v>0.4752380952</v>
      </c>
      <c r="I70" s="44" t="s">
        <v>54</v>
      </c>
      <c r="J70" s="43">
        <f t="shared" si="15"/>
        <v>0.01676324851</v>
      </c>
      <c r="K70" s="41" t="s">
        <v>124</v>
      </c>
    </row>
    <row r="71" ht="22.5" customHeight="1">
      <c r="A71" s="41" t="s">
        <v>125</v>
      </c>
      <c r="B71" s="42">
        <f t="shared" si="1"/>
        <v>1</v>
      </c>
      <c r="C71" s="42">
        <v>16.0</v>
      </c>
      <c r="D71" s="41"/>
      <c r="E71" s="42"/>
      <c r="F71" s="43">
        <v>3.65</v>
      </c>
      <c r="G71" s="42">
        <f t="shared" si="13"/>
        <v>3.65</v>
      </c>
      <c r="H71" s="43">
        <f t="shared" si="3"/>
        <v>0.228125</v>
      </c>
      <c r="I71" s="44" t="s">
        <v>54</v>
      </c>
      <c r="J71" s="43">
        <f t="shared" si="15"/>
        <v>0.008046737213</v>
      </c>
      <c r="K71" s="41"/>
    </row>
    <row r="72" ht="22.5" customHeight="1">
      <c r="A72" s="41" t="s">
        <v>126</v>
      </c>
      <c r="B72" s="42">
        <f t="shared" si="1"/>
        <v>0.5</v>
      </c>
      <c r="C72" s="42">
        <v>8.0</v>
      </c>
      <c r="D72" s="41"/>
      <c r="E72" s="42">
        <f t="shared" ref="E72:E73" si="16">B72/16</f>
        <v>0.03125</v>
      </c>
      <c r="F72" s="43">
        <v>6.89</v>
      </c>
      <c r="G72" s="42">
        <f t="shared" si="13"/>
        <v>13.78</v>
      </c>
      <c r="H72" s="43">
        <f t="shared" si="3"/>
        <v>0.86125</v>
      </c>
      <c r="I72" s="44" t="s">
        <v>54</v>
      </c>
      <c r="J72" s="43">
        <f t="shared" si="15"/>
        <v>0.03037918871</v>
      </c>
      <c r="K72" s="41"/>
    </row>
    <row r="73" ht="22.5" customHeight="1">
      <c r="A73" s="41" t="s">
        <v>127</v>
      </c>
      <c r="B73" s="42">
        <f t="shared" si="1"/>
        <v>0.75</v>
      </c>
      <c r="C73" s="42">
        <v>12.0</v>
      </c>
      <c r="D73" s="41"/>
      <c r="E73" s="42">
        <f t="shared" si="16"/>
        <v>0.046875</v>
      </c>
      <c r="F73" s="43">
        <v>7.75</v>
      </c>
      <c r="G73" s="42">
        <f t="shared" si="13"/>
        <v>10.33333333</v>
      </c>
      <c r="H73" s="43">
        <f t="shared" si="3"/>
        <v>0.6458333333</v>
      </c>
      <c r="I73" s="44" t="s">
        <v>54</v>
      </c>
      <c r="J73" s="43">
        <f t="shared" si="15"/>
        <v>0.02278071723</v>
      </c>
      <c r="K73" s="41"/>
    </row>
    <row r="74" ht="22.5" customHeight="1">
      <c r="A74" s="41" t="s">
        <v>128</v>
      </c>
      <c r="B74" s="42">
        <f t="shared" si="1"/>
        <v>2.625</v>
      </c>
      <c r="C74" s="42">
        <v>42.0</v>
      </c>
      <c r="D74" s="41"/>
      <c r="E74" s="42"/>
      <c r="F74" s="43">
        <v>4.29</v>
      </c>
      <c r="G74" s="42">
        <f t="shared" si="13"/>
        <v>1.634285714</v>
      </c>
      <c r="H74" s="43">
        <f t="shared" si="3"/>
        <v>0.1021428571</v>
      </c>
      <c r="I74" s="44" t="s">
        <v>54</v>
      </c>
      <c r="J74" s="43">
        <f t="shared" si="15"/>
        <v>0.003602922651</v>
      </c>
      <c r="K74" s="41"/>
    </row>
    <row r="75" ht="22.5" customHeight="1">
      <c r="A75" s="41" t="s">
        <v>129</v>
      </c>
      <c r="B75" s="42">
        <f t="shared" si="1"/>
        <v>1.05625</v>
      </c>
      <c r="C75" s="42">
        <v>16.9</v>
      </c>
      <c r="D75" s="41"/>
      <c r="E75" s="42">
        <f t="shared" ref="E75:E76" si="17">B75/16</f>
        <v>0.066015625</v>
      </c>
      <c r="F75" s="43">
        <v>14.99</v>
      </c>
      <c r="G75" s="42">
        <f t="shared" si="13"/>
        <v>14.19171598</v>
      </c>
      <c r="H75" s="43">
        <f t="shared" si="3"/>
        <v>0.8869822485</v>
      </c>
      <c r="I75" s="44" t="s">
        <v>54</v>
      </c>
      <c r="J75" s="43">
        <f t="shared" si="15"/>
        <v>0.0312868518</v>
      </c>
      <c r="K75" s="41"/>
    </row>
    <row r="76" ht="22.5" customHeight="1">
      <c r="A76" s="41" t="s">
        <v>130</v>
      </c>
      <c r="B76" s="42">
        <f t="shared" si="1"/>
        <v>2.5</v>
      </c>
      <c r="C76" s="42">
        <v>40.0</v>
      </c>
      <c r="D76" s="41"/>
      <c r="E76" s="42">
        <f t="shared" si="17"/>
        <v>0.15625</v>
      </c>
      <c r="F76" s="43">
        <v>6.75</v>
      </c>
      <c r="G76" s="42">
        <f t="shared" si="13"/>
        <v>2.7</v>
      </c>
      <c r="H76" s="43">
        <f t="shared" si="3"/>
        <v>0.16875</v>
      </c>
      <c r="I76" s="44" t="s">
        <v>54</v>
      </c>
      <c r="J76" s="43">
        <f t="shared" si="15"/>
        <v>0.005952380952</v>
      </c>
      <c r="K76" s="41"/>
    </row>
    <row r="77" ht="22.5" customHeight="1">
      <c r="A77" s="41" t="s">
        <v>131</v>
      </c>
      <c r="B77" s="42">
        <f t="shared" si="1"/>
        <v>2.5</v>
      </c>
      <c r="C77" s="42">
        <v>40.0</v>
      </c>
      <c r="D77" s="41"/>
      <c r="E77" s="42"/>
      <c r="F77" s="43">
        <v>7.99</v>
      </c>
      <c r="G77" s="42">
        <f t="shared" si="13"/>
        <v>3.196</v>
      </c>
      <c r="H77" s="43">
        <f t="shared" si="3"/>
        <v>0.19975</v>
      </c>
      <c r="I77" s="44" t="s">
        <v>54</v>
      </c>
      <c r="J77" s="43">
        <f t="shared" si="15"/>
        <v>0.007045855379</v>
      </c>
      <c r="K77" s="41"/>
    </row>
    <row r="78" ht="22.5" customHeight="1">
      <c r="A78" s="41" t="s">
        <v>132</v>
      </c>
      <c r="B78" s="42">
        <f t="shared" si="1"/>
        <v>1.25</v>
      </c>
      <c r="C78" s="42">
        <v>20.0</v>
      </c>
      <c r="D78" s="41"/>
      <c r="E78" s="42"/>
      <c r="F78" s="43">
        <v>1.59</v>
      </c>
      <c r="G78" s="42">
        <f t="shared" si="13"/>
        <v>1.272</v>
      </c>
      <c r="H78" s="43">
        <f t="shared" si="3"/>
        <v>0.0795</v>
      </c>
      <c r="I78" s="44" t="s">
        <v>54</v>
      </c>
      <c r="J78" s="43">
        <f t="shared" si="15"/>
        <v>0.002804232804</v>
      </c>
      <c r="K78" s="41"/>
    </row>
    <row r="79" ht="22.5" customHeight="1">
      <c r="A79" s="41" t="s">
        <v>133</v>
      </c>
      <c r="B79" s="42">
        <f t="shared" si="1"/>
        <v>1</v>
      </c>
      <c r="C79" s="42">
        <v>16.0</v>
      </c>
      <c r="D79" s="41"/>
      <c r="E79" s="42"/>
      <c r="F79" s="43">
        <v>3.99</v>
      </c>
      <c r="G79" s="42">
        <f t="shared" si="13"/>
        <v>3.99</v>
      </c>
      <c r="H79" s="43">
        <f t="shared" si="3"/>
        <v>0.249375</v>
      </c>
      <c r="I79" s="44" t="s">
        <v>54</v>
      </c>
      <c r="J79" s="43">
        <f t="shared" si="15"/>
        <v>0.008796296296</v>
      </c>
      <c r="K79" s="41"/>
    </row>
    <row r="80" ht="22.5" customHeight="1">
      <c r="A80" s="41" t="s">
        <v>134</v>
      </c>
      <c r="B80" s="42">
        <f t="shared" si="1"/>
        <v>3</v>
      </c>
      <c r="C80" s="42">
        <v>48.0</v>
      </c>
      <c r="D80" s="41"/>
      <c r="E80" s="42">
        <f t="shared" ref="E80:E81" si="18">B80/16</f>
        <v>0.1875</v>
      </c>
      <c r="F80" s="43">
        <v>9.29</v>
      </c>
      <c r="G80" s="42">
        <f t="shared" si="13"/>
        <v>3.096666667</v>
      </c>
      <c r="H80" s="43">
        <f t="shared" si="3"/>
        <v>0.1935416667</v>
      </c>
      <c r="I80" s="44" t="s">
        <v>54</v>
      </c>
      <c r="J80" s="43">
        <f t="shared" si="15"/>
        <v>0.006826866549</v>
      </c>
      <c r="K80" s="41"/>
    </row>
    <row r="81" ht="22.5" customHeight="1">
      <c r="A81" s="41" t="s">
        <v>135</v>
      </c>
      <c r="B81" s="42">
        <f t="shared" si="1"/>
        <v>0.375</v>
      </c>
      <c r="C81" s="42">
        <v>6.0</v>
      </c>
      <c r="D81" s="41"/>
      <c r="E81" s="42">
        <f t="shared" si="18"/>
        <v>0.0234375</v>
      </c>
      <c r="F81" s="43">
        <v>5.99</v>
      </c>
      <c r="G81" s="42">
        <f t="shared" si="13"/>
        <v>15.97333333</v>
      </c>
      <c r="H81" s="43">
        <f t="shared" si="3"/>
        <v>0.9983333333</v>
      </c>
      <c r="I81" s="44" t="s">
        <v>54</v>
      </c>
      <c r="J81" s="43">
        <f t="shared" si="15"/>
        <v>0.03521457966</v>
      </c>
      <c r="K81" s="41"/>
    </row>
    <row r="82" ht="22.5" customHeight="1">
      <c r="A82" s="41" t="s">
        <v>136</v>
      </c>
      <c r="B82" s="42">
        <f t="shared" si="1"/>
        <v>0.5</v>
      </c>
      <c r="C82" s="42">
        <v>8.0</v>
      </c>
      <c r="D82" s="41"/>
      <c r="E82" s="42"/>
      <c r="F82" s="43">
        <v>7.99</v>
      </c>
      <c r="G82" s="42">
        <f t="shared" si="13"/>
        <v>15.98</v>
      </c>
      <c r="H82" s="43">
        <f t="shared" si="3"/>
        <v>0.99875</v>
      </c>
      <c r="I82" s="44" t="s">
        <v>54</v>
      </c>
      <c r="J82" s="43">
        <f t="shared" si="15"/>
        <v>0.0352292769</v>
      </c>
      <c r="K82" s="41"/>
    </row>
    <row r="83" ht="22.5" customHeight="1">
      <c r="A83" s="41" t="s">
        <v>137</v>
      </c>
      <c r="B83" s="42">
        <f t="shared" si="1"/>
        <v>0.3125</v>
      </c>
      <c r="C83" s="42">
        <v>5.0</v>
      </c>
      <c r="D83" s="41"/>
      <c r="E83" s="42"/>
      <c r="F83" s="43">
        <v>2.99</v>
      </c>
      <c r="G83" s="42">
        <f t="shared" si="13"/>
        <v>9.568</v>
      </c>
      <c r="H83" s="43">
        <f t="shared" si="3"/>
        <v>0.598</v>
      </c>
      <c r="I83" s="44" t="s">
        <v>54</v>
      </c>
      <c r="J83" s="43">
        <f t="shared" si="15"/>
        <v>0.02109347443</v>
      </c>
      <c r="K83" s="41"/>
    </row>
    <row r="84" ht="22.5" customHeight="1">
      <c r="A84" s="41" t="s">
        <v>138</v>
      </c>
      <c r="B84" s="42">
        <f t="shared" si="1"/>
        <v>0.04375</v>
      </c>
      <c r="C84" s="42">
        <v>0.7</v>
      </c>
      <c r="D84" s="41"/>
      <c r="E84" s="42"/>
      <c r="F84" s="43">
        <v>1.59</v>
      </c>
      <c r="G84" s="42">
        <f t="shared" si="13"/>
        <v>36.34285714</v>
      </c>
      <c r="H84" s="43">
        <f t="shared" si="3"/>
        <v>2.271428571</v>
      </c>
      <c r="I84" s="44" t="s">
        <v>54</v>
      </c>
      <c r="J84" s="43">
        <f t="shared" si="15"/>
        <v>0.08012093726</v>
      </c>
      <c r="K84" s="41"/>
    </row>
    <row r="85" ht="22.5" customHeight="1">
      <c r="A85" s="41" t="s">
        <v>139</v>
      </c>
      <c r="B85" s="42">
        <f t="shared" si="1"/>
        <v>0.0375</v>
      </c>
      <c r="C85" s="42">
        <v>0.6</v>
      </c>
      <c r="D85" s="41"/>
      <c r="E85" s="42">
        <f t="shared" ref="E85:E86" si="19">B85/16</f>
        <v>0.00234375</v>
      </c>
      <c r="F85" s="43">
        <v>1.59</v>
      </c>
      <c r="G85" s="42">
        <f t="shared" si="13"/>
        <v>42.4</v>
      </c>
      <c r="H85" s="43">
        <f t="shared" si="3"/>
        <v>2.65</v>
      </c>
      <c r="I85" s="44" t="s">
        <v>54</v>
      </c>
      <c r="J85" s="43">
        <f t="shared" si="15"/>
        <v>0.09347442681</v>
      </c>
      <c r="K85" s="41"/>
    </row>
    <row r="86" ht="22.5" customHeight="1">
      <c r="A86" s="41" t="s">
        <v>140</v>
      </c>
      <c r="B86" s="42">
        <f t="shared" si="1"/>
        <v>0.0625</v>
      </c>
      <c r="C86" s="42">
        <v>1.0</v>
      </c>
      <c r="D86" s="41"/>
      <c r="E86" s="42">
        <f t="shared" si="19"/>
        <v>0.00390625</v>
      </c>
      <c r="F86" s="43">
        <v>4.0</v>
      </c>
      <c r="G86" s="42">
        <f t="shared" si="13"/>
        <v>64</v>
      </c>
      <c r="H86" s="43">
        <f t="shared" si="3"/>
        <v>4</v>
      </c>
      <c r="I86" s="44" t="s">
        <v>54</v>
      </c>
      <c r="J86" s="43">
        <f t="shared" si="15"/>
        <v>0.1410934744</v>
      </c>
      <c r="K86" s="41"/>
    </row>
    <row r="87" ht="22.5" customHeight="1">
      <c r="A87" s="41" t="s">
        <v>141</v>
      </c>
      <c r="B87" s="42">
        <f t="shared" si="1"/>
        <v>0.171875</v>
      </c>
      <c r="C87" s="42">
        <v>2.75</v>
      </c>
      <c r="D87" s="41"/>
      <c r="E87" s="42"/>
      <c r="F87" s="43">
        <v>1.25</v>
      </c>
      <c r="G87" s="42">
        <f t="shared" si="13"/>
        <v>7.272727273</v>
      </c>
      <c r="H87" s="43">
        <f t="shared" si="3"/>
        <v>0.4545454545</v>
      </c>
      <c r="I87" s="44" t="s">
        <v>54</v>
      </c>
      <c r="J87" s="43">
        <f t="shared" si="15"/>
        <v>0.01603334937</v>
      </c>
      <c r="K87" s="41"/>
    </row>
    <row r="88" ht="22.5" customHeight="1">
      <c r="A88" s="41" t="s">
        <v>142</v>
      </c>
      <c r="B88" s="42">
        <f t="shared" si="1"/>
        <v>0.148125</v>
      </c>
      <c r="C88" s="42">
        <v>2.37</v>
      </c>
      <c r="D88" s="41"/>
      <c r="E88" s="42">
        <f t="shared" ref="E88:E89" si="20">B88/16</f>
        <v>0.0092578125</v>
      </c>
      <c r="F88" s="43">
        <v>3.85</v>
      </c>
      <c r="G88" s="42">
        <f t="shared" si="13"/>
        <v>25.99156118</v>
      </c>
      <c r="H88" s="43">
        <f t="shared" si="3"/>
        <v>1.624472574</v>
      </c>
      <c r="I88" s="44" t="s">
        <v>54</v>
      </c>
      <c r="J88" s="43">
        <f t="shared" si="15"/>
        <v>0.05730061989</v>
      </c>
      <c r="K88" s="41"/>
    </row>
    <row r="89" ht="22.5" customHeight="1">
      <c r="A89" s="41" t="s">
        <v>143</v>
      </c>
      <c r="B89" s="42">
        <f t="shared" si="1"/>
        <v>0.0625</v>
      </c>
      <c r="C89" s="42">
        <v>1.0</v>
      </c>
      <c r="D89" s="41"/>
      <c r="E89" s="42">
        <f t="shared" si="20"/>
        <v>0.00390625</v>
      </c>
      <c r="F89" s="43">
        <v>3.38</v>
      </c>
      <c r="G89" s="42">
        <f t="shared" si="13"/>
        <v>54.08</v>
      </c>
      <c r="H89" s="43">
        <f t="shared" si="3"/>
        <v>3.38</v>
      </c>
      <c r="I89" s="44" t="s">
        <v>54</v>
      </c>
      <c r="J89" s="43">
        <f t="shared" si="15"/>
        <v>0.1192239859</v>
      </c>
      <c r="K89" s="41"/>
    </row>
    <row r="90" ht="22.5" customHeight="1">
      <c r="A90" s="41" t="s">
        <v>144</v>
      </c>
      <c r="B90" s="42">
        <f t="shared" si="1"/>
        <v>0.0625</v>
      </c>
      <c r="C90" s="42">
        <v>1.0</v>
      </c>
      <c r="D90" s="41"/>
      <c r="E90" s="42"/>
      <c r="F90" s="43">
        <v>1.59</v>
      </c>
      <c r="G90" s="42">
        <f t="shared" si="13"/>
        <v>25.44</v>
      </c>
      <c r="H90" s="43">
        <f t="shared" si="3"/>
        <v>1.59</v>
      </c>
      <c r="I90" s="44" t="s">
        <v>54</v>
      </c>
      <c r="J90" s="43">
        <f t="shared" si="15"/>
        <v>0.05608465608</v>
      </c>
      <c r="K90" s="41"/>
    </row>
    <row r="91" ht="22.5" customHeight="1">
      <c r="A91" s="41" t="s">
        <v>145</v>
      </c>
      <c r="B91" s="42">
        <f t="shared" si="1"/>
        <v>0.0375</v>
      </c>
      <c r="C91" s="42">
        <v>0.6</v>
      </c>
      <c r="D91" s="41"/>
      <c r="E91" s="42">
        <f t="shared" ref="E91:E93" si="21">B91/16</f>
        <v>0.00234375</v>
      </c>
      <c r="F91" s="43">
        <v>2.29</v>
      </c>
      <c r="G91" s="42">
        <f t="shared" si="13"/>
        <v>61.06666667</v>
      </c>
      <c r="H91" s="43">
        <f t="shared" si="3"/>
        <v>3.816666667</v>
      </c>
      <c r="I91" s="44" t="s">
        <v>54</v>
      </c>
      <c r="J91" s="43">
        <f t="shared" si="15"/>
        <v>0.1346266902</v>
      </c>
      <c r="K91" s="41"/>
    </row>
    <row r="92" ht="22.5" customHeight="1">
      <c r="A92" s="41" t="s">
        <v>146</v>
      </c>
      <c r="B92" s="42">
        <f t="shared" si="1"/>
        <v>0.5</v>
      </c>
      <c r="C92" s="42">
        <v>8.0</v>
      </c>
      <c r="D92" s="41"/>
      <c r="E92" s="42">
        <f t="shared" si="21"/>
        <v>0.03125</v>
      </c>
      <c r="F92" s="43">
        <v>7.17</v>
      </c>
      <c r="G92" s="42">
        <f t="shared" si="13"/>
        <v>14.34</v>
      </c>
      <c r="H92" s="43">
        <f t="shared" si="3"/>
        <v>0.89625</v>
      </c>
      <c r="I92" s="44" t="s">
        <v>54</v>
      </c>
      <c r="J92" s="43">
        <f t="shared" si="15"/>
        <v>0.03161375661</v>
      </c>
      <c r="K92" s="41"/>
    </row>
    <row r="93" ht="22.5" customHeight="1">
      <c r="A93" s="41" t="s">
        <v>147</v>
      </c>
      <c r="B93" s="42">
        <f t="shared" si="1"/>
        <v>0.06875</v>
      </c>
      <c r="C93" s="42">
        <v>1.1</v>
      </c>
      <c r="D93" s="41"/>
      <c r="E93" s="42">
        <f t="shared" si="21"/>
        <v>0.004296875</v>
      </c>
      <c r="F93" s="43">
        <v>4.62</v>
      </c>
      <c r="G93" s="42">
        <f t="shared" si="13"/>
        <v>67.2</v>
      </c>
      <c r="H93" s="43">
        <f t="shared" si="3"/>
        <v>4.2</v>
      </c>
      <c r="I93" s="44" t="s">
        <v>54</v>
      </c>
      <c r="J93" s="43">
        <f t="shared" si="15"/>
        <v>0.1481481481</v>
      </c>
      <c r="K93" s="41"/>
    </row>
    <row r="94" ht="22.5" customHeight="1">
      <c r="A94" s="41" t="s">
        <v>148</v>
      </c>
      <c r="B94" s="42">
        <f t="shared" si="1"/>
        <v>0.15625</v>
      </c>
      <c r="C94" s="42">
        <v>2.5</v>
      </c>
      <c r="D94" s="41"/>
      <c r="E94" s="42"/>
      <c r="F94" s="43">
        <v>3.68</v>
      </c>
      <c r="G94" s="42">
        <f t="shared" si="13"/>
        <v>23.552</v>
      </c>
      <c r="H94" s="43">
        <f t="shared" si="3"/>
        <v>1.472</v>
      </c>
      <c r="I94" s="44" t="s">
        <v>54</v>
      </c>
      <c r="J94" s="43">
        <f t="shared" si="15"/>
        <v>0.05192239859</v>
      </c>
      <c r="K94" s="41"/>
    </row>
    <row r="95" ht="22.5" customHeight="1">
      <c r="A95" s="41" t="s">
        <v>149</v>
      </c>
      <c r="B95" s="42">
        <f t="shared" si="1"/>
        <v>0.046875</v>
      </c>
      <c r="C95" s="42">
        <v>0.75</v>
      </c>
      <c r="D95" s="41"/>
      <c r="E95" s="42"/>
      <c r="F95" s="43">
        <v>4.62</v>
      </c>
      <c r="G95" s="42">
        <f t="shared" si="13"/>
        <v>98.56</v>
      </c>
      <c r="H95" s="43">
        <f t="shared" si="3"/>
        <v>6.16</v>
      </c>
      <c r="I95" s="44" t="s">
        <v>54</v>
      </c>
      <c r="J95" s="43">
        <f t="shared" si="15"/>
        <v>0.2172839506</v>
      </c>
      <c r="K95" s="41"/>
    </row>
    <row r="96" ht="22.5" customHeight="1">
      <c r="A96" s="41" t="s">
        <v>150</v>
      </c>
      <c r="B96" s="42">
        <f t="shared" si="1"/>
        <v>0.03125</v>
      </c>
      <c r="C96" s="42">
        <v>0.5</v>
      </c>
      <c r="D96" s="41"/>
      <c r="E96" s="42">
        <f t="shared" ref="E96:E99" si="22">B96/16</f>
        <v>0.001953125</v>
      </c>
      <c r="F96" s="43">
        <v>1.99</v>
      </c>
      <c r="G96" s="42">
        <f t="shared" si="13"/>
        <v>63.68</v>
      </c>
      <c r="H96" s="43">
        <f t="shared" si="3"/>
        <v>3.98</v>
      </c>
      <c r="I96" s="44" t="s">
        <v>54</v>
      </c>
      <c r="J96" s="43">
        <f t="shared" si="15"/>
        <v>0.1403880071</v>
      </c>
      <c r="K96" s="41"/>
    </row>
    <row r="97" ht="22.5" customHeight="1">
      <c r="A97" s="41" t="s">
        <v>151</v>
      </c>
      <c r="B97" s="42">
        <f t="shared" si="1"/>
        <v>1.1</v>
      </c>
      <c r="C97" s="42">
        <v>17.6</v>
      </c>
      <c r="D97" s="41"/>
      <c r="E97" s="42">
        <f t="shared" si="22"/>
        <v>0.06875</v>
      </c>
      <c r="F97" s="43">
        <v>4.69</v>
      </c>
      <c r="G97" s="42">
        <f t="shared" si="13"/>
        <v>4.263636364</v>
      </c>
      <c r="H97" s="43">
        <f t="shared" si="3"/>
        <v>0.2664772727</v>
      </c>
      <c r="I97" s="44" t="s">
        <v>54</v>
      </c>
      <c r="J97" s="43">
        <f t="shared" si="15"/>
        <v>0.009399551066</v>
      </c>
      <c r="K97" s="41"/>
    </row>
    <row r="98" ht="22.5" customHeight="1">
      <c r="A98" s="41" t="s">
        <v>152</v>
      </c>
      <c r="B98" s="42">
        <f t="shared" si="1"/>
        <v>0.046875</v>
      </c>
      <c r="C98" s="42">
        <v>0.75</v>
      </c>
      <c r="D98" s="41"/>
      <c r="E98" s="42">
        <f t="shared" si="22"/>
        <v>0.0029296875</v>
      </c>
      <c r="F98" s="43">
        <v>1.59</v>
      </c>
      <c r="G98" s="42">
        <f t="shared" si="13"/>
        <v>33.92</v>
      </c>
      <c r="H98" s="43">
        <f t="shared" si="3"/>
        <v>2.12</v>
      </c>
      <c r="I98" s="44" t="s">
        <v>54</v>
      </c>
      <c r="J98" s="43">
        <f t="shared" si="15"/>
        <v>0.07477954145</v>
      </c>
      <c r="K98" s="41"/>
    </row>
    <row r="99" ht="22.5" customHeight="1">
      <c r="A99" s="41" t="s">
        <v>153</v>
      </c>
      <c r="B99" s="42">
        <f t="shared" si="1"/>
        <v>0.03125</v>
      </c>
      <c r="C99" s="42">
        <v>0.5</v>
      </c>
      <c r="D99" s="41"/>
      <c r="E99" s="42">
        <f t="shared" si="22"/>
        <v>0.001953125</v>
      </c>
      <c r="F99" s="43">
        <v>1.99</v>
      </c>
      <c r="G99" s="42">
        <f t="shared" si="13"/>
        <v>63.68</v>
      </c>
      <c r="H99" s="43">
        <f t="shared" si="3"/>
        <v>3.98</v>
      </c>
      <c r="I99" s="44" t="s">
        <v>54</v>
      </c>
      <c r="J99" s="43">
        <f t="shared" si="15"/>
        <v>0.1403880071</v>
      </c>
      <c r="K99" s="41"/>
    </row>
    <row r="100" ht="22.5" customHeight="1">
      <c r="A100" s="41" t="s">
        <v>154</v>
      </c>
      <c r="B100" s="42">
        <v>10.0</v>
      </c>
      <c r="C100" s="42">
        <v>160.0</v>
      </c>
      <c r="D100" s="41"/>
      <c r="E100" s="42"/>
      <c r="F100" s="43">
        <v>19.99</v>
      </c>
      <c r="G100" s="42">
        <f t="shared" si="13"/>
        <v>1.999</v>
      </c>
      <c r="H100" s="43">
        <f t="shared" si="3"/>
        <v>0.1249375</v>
      </c>
      <c r="I100" s="44" t="s">
        <v>54</v>
      </c>
      <c r="J100" s="43">
        <f t="shared" si="15"/>
        <v>0.00440696649</v>
      </c>
      <c r="K100" s="41"/>
    </row>
    <row r="101" ht="22.5" customHeight="1">
      <c r="A101" s="41" t="s">
        <v>155</v>
      </c>
      <c r="B101" s="42">
        <f t="shared" ref="B101:B108" si="23">C101/16</f>
        <v>2</v>
      </c>
      <c r="C101" s="42">
        <v>32.0</v>
      </c>
      <c r="D101" s="41"/>
      <c r="E101" s="42">
        <f t="shared" ref="E101:E107" si="24">B101/16</f>
        <v>0.125</v>
      </c>
      <c r="F101" s="43">
        <v>3.79</v>
      </c>
      <c r="G101" s="42">
        <f t="shared" si="13"/>
        <v>1.895</v>
      </c>
      <c r="H101" s="43">
        <f t="shared" si="3"/>
        <v>0.1184375</v>
      </c>
      <c r="I101" s="44" t="s">
        <v>54</v>
      </c>
      <c r="J101" s="43">
        <f t="shared" si="15"/>
        <v>0.004177689594</v>
      </c>
      <c r="K101" s="41"/>
    </row>
    <row r="102" ht="22.5" customHeight="1">
      <c r="A102" s="41" t="s">
        <v>156</v>
      </c>
      <c r="B102" s="42">
        <f t="shared" si="23"/>
        <v>2</v>
      </c>
      <c r="C102" s="42">
        <v>32.0</v>
      </c>
      <c r="D102" s="41"/>
      <c r="E102" s="42">
        <f t="shared" si="24"/>
        <v>0.125</v>
      </c>
      <c r="F102" s="43">
        <v>3.79</v>
      </c>
      <c r="G102" s="42">
        <f t="shared" si="13"/>
        <v>1.895</v>
      </c>
      <c r="H102" s="43">
        <f t="shared" si="3"/>
        <v>0.1184375</v>
      </c>
      <c r="I102" s="44" t="s">
        <v>54</v>
      </c>
      <c r="J102" s="43">
        <f t="shared" si="15"/>
        <v>0.004177689594</v>
      </c>
      <c r="K102" s="41"/>
    </row>
    <row r="103" ht="22.5" customHeight="1">
      <c r="A103" s="41" t="s">
        <v>157</v>
      </c>
      <c r="B103" s="42">
        <f t="shared" si="23"/>
        <v>10</v>
      </c>
      <c r="C103" s="42">
        <v>160.0</v>
      </c>
      <c r="D103" s="41"/>
      <c r="E103" s="42">
        <f t="shared" si="24"/>
        <v>0.625</v>
      </c>
      <c r="F103" s="43">
        <v>10.99</v>
      </c>
      <c r="G103" s="42">
        <f t="shared" si="13"/>
        <v>1.099</v>
      </c>
      <c r="H103" s="43">
        <f t="shared" si="3"/>
        <v>0.0686875</v>
      </c>
      <c r="I103" s="44" t="s">
        <v>54</v>
      </c>
      <c r="J103" s="43">
        <f t="shared" si="15"/>
        <v>0.002422839506</v>
      </c>
      <c r="K103" s="41"/>
    </row>
    <row r="104" ht="22.5" customHeight="1">
      <c r="A104" s="41" t="s">
        <v>158</v>
      </c>
      <c r="B104" s="42">
        <f t="shared" si="23"/>
        <v>2</v>
      </c>
      <c r="C104" s="42">
        <v>32.0</v>
      </c>
      <c r="D104" s="41"/>
      <c r="E104" s="42">
        <f t="shared" si="24"/>
        <v>0.125</v>
      </c>
      <c r="F104" s="43">
        <v>3.79</v>
      </c>
      <c r="G104" s="42">
        <f t="shared" si="13"/>
        <v>1.895</v>
      </c>
      <c r="H104" s="43">
        <f t="shared" si="3"/>
        <v>0.1184375</v>
      </c>
      <c r="I104" s="44" t="s">
        <v>54</v>
      </c>
      <c r="J104" s="43">
        <f t="shared" si="15"/>
        <v>0.004177689594</v>
      </c>
      <c r="K104" s="41"/>
    </row>
    <row r="105" ht="22.5" customHeight="1">
      <c r="A105" s="41" t="s">
        <v>159</v>
      </c>
      <c r="B105" s="42">
        <f t="shared" si="23"/>
        <v>0.75</v>
      </c>
      <c r="C105" s="42">
        <v>12.0</v>
      </c>
      <c r="D105" s="41"/>
      <c r="E105" s="42">
        <f t="shared" si="24"/>
        <v>0.046875</v>
      </c>
      <c r="F105" s="43">
        <v>6.15</v>
      </c>
      <c r="G105" s="42">
        <f t="shared" si="13"/>
        <v>8.2</v>
      </c>
      <c r="H105" s="43">
        <f t="shared" si="3"/>
        <v>0.5125</v>
      </c>
      <c r="I105" s="44" t="s">
        <v>54</v>
      </c>
      <c r="J105" s="43">
        <f t="shared" si="15"/>
        <v>0.01807760141</v>
      </c>
      <c r="K105" s="41"/>
    </row>
    <row r="106" ht="22.5" customHeight="1">
      <c r="A106" s="41" t="s">
        <v>160</v>
      </c>
      <c r="B106" s="42">
        <f t="shared" si="23"/>
        <v>2</v>
      </c>
      <c r="C106" s="42">
        <v>32.0</v>
      </c>
      <c r="D106" s="41"/>
      <c r="E106" s="42">
        <f t="shared" si="24"/>
        <v>0.125</v>
      </c>
      <c r="F106" s="43">
        <v>16.99</v>
      </c>
      <c r="G106" s="42">
        <f t="shared" si="13"/>
        <v>8.495</v>
      </c>
      <c r="H106" s="43">
        <f t="shared" si="3"/>
        <v>0.5309375</v>
      </c>
      <c r="I106" s="44" t="s">
        <v>54</v>
      </c>
      <c r="J106" s="43">
        <f t="shared" si="15"/>
        <v>0.01872795414</v>
      </c>
      <c r="K106" s="41"/>
    </row>
    <row r="107" ht="22.5" customHeight="1">
      <c r="A107" s="41" t="s">
        <v>161</v>
      </c>
      <c r="B107" s="42">
        <f t="shared" si="23"/>
        <v>0.75</v>
      </c>
      <c r="C107" s="42">
        <v>12.0</v>
      </c>
      <c r="D107" s="41"/>
      <c r="E107" s="42">
        <f t="shared" si="24"/>
        <v>0.046875</v>
      </c>
      <c r="F107" s="43">
        <v>5.35</v>
      </c>
      <c r="G107" s="42">
        <f t="shared" si="13"/>
        <v>7.133333333</v>
      </c>
      <c r="H107" s="43">
        <f t="shared" si="3"/>
        <v>0.4458333333</v>
      </c>
      <c r="I107" s="44" t="s">
        <v>54</v>
      </c>
      <c r="J107" s="43">
        <f t="shared" si="15"/>
        <v>0.0157260435</v>
      </c>
      <c r="K107" s="41"/>
    </row>
    <row r="108" ht="22.5" customHeight="1">
      <c r="A108" s="41" t="s">
        <v>162</v>
      </c>
      <c r="B108" s="42">
        <f t="shared" si="23"/>
        <v>1</v>
      </c>
      <c r="C108" s="42">
        <v>16.0</v>
      </c>
      <c r="D108" s="41"/>
      <c r="E108" s="42"/>
      <c r="F108" s="43">
        <v>1.39</v>
      </c>
      <c r="G108" s="42">
        <f t="shared" si="13"/>
        <v>1.39</v>
      </c>
      <c r="H108" s="43">
        <f t="shared" si="3"/>
        <v>0.086875</v>
      </c>
      <c r="I108" s="44" t="s">
        <v>54</v>
      </c>
      <c r="J108" s="43">
        <f t="shared" si="15"/>
        <v>0.003064373898</v>
      </c>
      <c r="K108" s="41"/>
    </row>
    <row r="111">
      <c r="A111" s="35" t="s">
        <v>40</v>
      </c>
    </row>
    <row r="112">
      <c r="A112" s="36" t="s">
        <v>163</v>
      </c>
    </row>
  </sheetData>
  <dataValidations>
    <dataValidation type="custom" allowBlank="1" showDropDown="1" sqref="B2:C108 E2:H108 J2:J108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5"/>
    <col customWidth="1" min="2" max="2" width="15.0"/>
    <col customWidth="1" min="4" max="4" width="18.88"/>
  </cols>
  <sheetData>
    <row r="1" ht="22.5" customHeight="1">
      <c r="A1" s="38" t="s">
        <v>2</v>
      </c>
      <c r="B1" s="39" t="s">
        <v>164</v>
      </c>
      <c r="C1" s="39" t="s">
        <v>165</v>
      </c>
      <c r="D1" s="39" t="s">
        <v>166</v>
      </c>
    </row>
    <row r="2" ht="22.5" customHeight="1">
      <c r="A2" s="41" t="s">
        <v>167</v>
      </c>
      <c r="B2" s="42">
        <v>100.0</v>
      </c>
      <c r="C2" s="43">
        <v>12.99</v>
      </c>
      <c r="D2" s="43">
        <f t="shared" ref="D2:D23" si="1">C2/B2</f>
        <v>0.1299</v>
      </c>
    </row>
    <row r="3" ht="22.5" customHeight="1">
      <c r="A3" s="41" t="s">
        <v>168</v>
      </c>
      <c r="B3" s="42">
        <v>100.0</v>
      </c>
      <c r="C3" s="43">
        <v>8.99</v>
      </c>
      <c r="D3" s="43">
        <f t="shared" si="1"/>
        <v>0.0899</v>
      </c>
    </row>
    <row r="4" ht="22.5" customHeight="1">
      <c r="A4" s="41" t="s">
        <v>169</v>
      </c>
      <c r="B4" s="42">
        <v>50.0</v>
      </c>
      <c r="C4" s="43">
        <v>9.99</v>
      </c>
      <c r="D4" s="43">
        <f t="shared" si="1"/>
        <v>0.1998</v>
      </c>
    </row>
    <row r="5" ht="22.5" customHeight="1">
      <c r="A5" s="47" t="s">
        <v>170</v>
      </c>
      <c r="B5" s="42">
        <v>100.0</v>
      </c>
      <c r="C5" s="43">
        <v>25.9</v>
      </c>
      <c r="D5" s="43">
        <f t="shared" si="1"/>
        <v>0.259</v>
      </c>
    </row>
    <row r="6" ht="22.5" customHeight="1">
      <c r="A6" s="41" t="s">
        <v>171</v>
      </c>
      <c r="B6" s="42">
        <v>24.0</v>
      </c>
      <c r="C6" s="43">
        <v>18.99</v>
      </c>
      <c r="D6" s="43">
        <f t="shared" si="1"/>
        <v>0.79125</v>
      </c>
    </row>
    <row r="7" ht="22.5" customHeight="1">
      <c r="A7" s="41" t="s">
        <v>172</v>
      </c>
      <c r="B7" s="42">
        <v>28.0</v>
      </c>
      <c r="C7" s="43">
        <v>17.99</v>
      </c>
      <c r="D7" s="43">
        <f t="shared" si="1"/>
        <v>0.6425</v>
      </c>
    </row>
    <row r="8" ht="22.5" customHeight="1">
      <c r="A8" s="41" t="s">
        <v>173</v>
      </c>
      <c r="B8" s="42">
        <v>15.0</v>
      </c>
      <c r="C8" s="43">
        <v>16.99</v>
      </c>
      <c r="D8" s="43">
        <f t="shared" si="1"/>
        <v>1.132666667</v>
      </c>
    </row>
    <row r="9" ht="22.5" customHeight="1">
      <c r="A9" s="41" t="s">
        <v>174</v>
      </c>
      <c r="B9" s="42">
        <v>25.0</v>
      </c>
      <c r="C9" s="43">
        <v>16.99</v>
      </c>
      <c r="D9" s="43">
        <f t="shared" si="1"/>
        <v>0.6796</v>
      </c>
    </row>
    <row r="10" ht="22.5" customHeight="1">
      <c r="A10" s="41" t="s">
        <v>175</v>
      </c>
      <c r="B10" s="42">
        <v>60.0</v>
      </c>
      <c r="C10" s="43">
        <v>36.59</v>
      </c>
      <c r="D10" s="43">
        <f t="shared" si="1"/>
        <v>0.6098333333</v>
      </c>
    </row>
    <row r="11" ht="22.5" customHeight="1">
      <c r="A11" s="41" t="s">
        <v>176</v>
      </c>
      <c r="B11" s="42">
        <v>600.0</v>
      </c>
      <c r="C11" s="43">
        <v>9.98</v>
      </c>
      <c r="D11" s="43">
        <f t="shared" si="1"/>
        <v>0.01663333333</v>
      </c>
    </row>
    <row r="12" ht="22.5" customHeight="1">
      <c r="A12" s="41" t="s">
        <v>177</v>
      </c>
      <c r="B12" s="42">
        <v>300.0</v>
      </c>
      <c r="C12" s="43">
        <v>9.95</v>
      </c>
      <c r="D12" s="43">
        <f t="shared" si="1"/>
        <v>0.03316666667</v>
      </c>
    </row>
    <row r="13" ht="22.5" customHeight="1">
      <c r="A13" s="41" t="s">
        <v>178</v>
      </c>
      <c r="B13" s="42">
        <v>300.0</v>
      </c>
      <c r="C13" s="43">
        <v>6.49</v>
      </c>
      <c r="D13" s="43">
        <f t="shared" si="1"/>
        <v>0.02163333333</v>
      </c>
    </row>
    <row r="14" ht="22.5" customHeight="1">
      <c r="A14" s="41" t="s">
        <v>179</v>
      </c>
      <c r="B14" s="42">
        <v>500.0</v>
      </c>
      <c r="C14" s="43">
        <v>83.99</v>
      </c>
      <c r="D14" s="43">
        <f t="shared" si="1"/>
        <v>0.16798</v>
      </c>
    </row>
    <row r="15" ht="22.5" customHeight="1">
      <c r="A15" s="41" t="s">
        <v>180</v>
      </c>
      <c r="B15" s="42">
        <v>300.0</v>
      </c>
      <c r="C15" s="43">
        <v>8.89</v>
      </c>
      <c r="D15" s="43">
        <f t="shared" si="1"/>
        <v>0.02963333333</v>
      </c>
    </row>
    <row r="16" ht="22.5" customHeight="1">
      <c r="A16" s="41" t="s">
        <v>181</v>
      </c>
      <c r="B16" s="42">
        <v>500.0</v>
      </c>
      <c r="C16" s="43">
        <v>6.39</v>
      </c>
      <c r="D16" s="43">
        <f t="shared" si="1"/>
        <v>0.01278</v>
      </c>
    </row>
    <row r="17" ht="22.5" customHeight="1">
      <c r="A17" s="41" t="s">
        <v>182</v>
      </c>
      <c r="B17" s="42">
        <v>500.0</v>
      </c>
      <c r="C17" s="43">
        <v>6.99</v>
      </c>
      <c r="D17" s="43">
        <f t="shared" si="1"/>
        <v>0.01398</v>
      </c>
    </row>
    <row r="18" ht="22.5" customHeight="1">
      <c r="A18" s="41" t="s">
        <v>183</v>
      </c>
      <c r="B18" s="42">
        <v>1000.0</v>
      </c>
      <c r="C18" s="43">
        <v>23.57</v>
      </c>
      <c r="D18" s="43">
        <f t="shared" si="1"/>
        <v>0.02357</v>
      </c>
    </row>
    <row r="19" ht="22.5" customHeight="1">
      <c r="A19" s="41" t="s">
        <v>184</v>
      </c>
      <c r="B19" s="42">
        <v>50.0</v>
      </c>
      <c r="C19" s="43">
        <v>27.99</v>
      </c>
      <c r="D19" s="43">
        <f t="shared" si="1"/>
        <v>0.5598</v>
      </c>
    </row>
    <row r="20" ht="22.5" customHeight="1">
      <c r="A20" s="41" t="s">
        <v>185</v>
      </c>
      <c r="B20" s="42">
        <v>100.0</v>
      </c>
      <c r="C20" s="43">
        <v>27.99</v>
      </c>
      <c r="D20" s="43">
        <f t="shared" si="1"/>
        <v>0.2799</v>
      </c>
    </row>
    <row r="21" ht="22.5" customHeight="1">
      <c r="A21" s="41" t="s">
        <v>186</v>
      </c>
      <c r="B21" s="42">
        <v>150.0</v>
      </c>
      <c r="C21" s="43">
        <v>12.99</v>
      </c>
      <c r="D21" s="43">
        <f t="shared" si="1"/>
        <v>0.0866</v>
      </c>
    </row>
    <row r="22" ht="22.5" customHeight="1">
      <c r="A22" s="41" t="s">
        <v>187</v>
      </c>
      <c r="B22" s="42">
        <v>150.0</v>
      </c>
      <c r="C22" s="43">
        <v>12.99</v>
      </c>
      <c r="D22" s="43">
        <f t="shared" si="1"/>
        <v>0.0866</v>
      </c>
    </row>
    <row r="23" ht="22.5" customHeight="1">
      <c r="A23" s="41" t="s">
        <v>188</v>
      </c>
      <c r="B23" s="42">
        <v>1000.0</v>
      </c>
      <c r="C23" s="43">
        <v>16.31</v>
      </c>
      <c r="D23" s="43">
        <f t="shared" si="1"/>
        <v>0.01631</v>
      </c>
    </row>
  </sheetData>
  <dataValidations>
    <dataValidation type="custom" allowBlank="1" showDropDown="1" sqref="B2:D23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</cols>
  <sheetData>
    <row r="1">
      <c r="A1" s="35" t="s">
        <v>189</v>
      </c>
    </row>
    <row r="3">
      <c r="A3" s="1" t="s">
        <v>0</v>
      </c>
      <c r="B3" s="2"/>
      <c r="C3" s="3"/>
      <c r="D3" s="4" t="s">
        <v>1</v>
      </c>
      <c r="E3" s="3"/>
    </row>
    <row r="4">
      <c r="A4" s="5" t="s">
        <v>2</v>
      </c>
      <c r="B4" s="5" t="s">
        <v>3</v>
      </c>
      <c r="C4" s="6" t="s">
        <v>4</v>
      </c>
      <c r="D4" s="7" t="s">
        <v>5</v>
      </c>
      <c r="E4" s="6" t="s">
        <v>6</v>
      </c>
    </row>
    <row r="5">
      <c r="A5" s="8"/>
      <c r="B5" s="9"/>
      <c r="C5" s="10" t="s">
        <v>9</v>
      </c>
      <c r="D5" s="14"/>
      <c r="E5" s="14">
        <f t="shared" ref="E5:E16" si="1">B5*D5</f>
        <v>0</v>
      </c>
      <c r="F5" s="48"/>
    </row>
    <row r="6">
      <c r="A6" s="8"/>
      <c r="B6" s="9"/>
      <c r="C6" s="10" t="s">
        <v>9</v>
      </c>
      <c r="D6" s="49"/>
      <c r="E6" s="14">
        <f t="shared" si="1"/>
        <v>0</v>
      </c>
      <c r="F6" s="48"/>
    </row>
    <row r="7">
      <c r="A7" s="8"/>
      <c r="B7" s="9"/>
      <c r="C7" s="10" t="s">
        <v>9</v>
      </c>
      <c r="D7" s="14"/>
      <c r="E7" s="14">
        <f t="shared" si="1"/>
        <v>0</v>
      </c>
      <c r="F7" s="48"/>
    </row>
    <row r="8">
      <c r="A8" s="15"/>
      <c r="B8" s="16"/>
      <c r="C8" s="10" t="s">
        <v>9</v>
      </c>
      <c r="D8" s="14"/>
      <c r="E8" s="14">
        <f t="shared" si="1"/>
        <v>0</v>
      </c>
      <c r="F8" s="48"/>
    </row>
    <row r="9">
      <c r="A9" s="15"/>
      <c r="B9" s="16"/>
      <c r="C9" s="10" t="s">
        <v>9</v>
      </c>
      <c r="D9" s="49"/>
      <c r="E9" s="14">
        <f t="shared" si="1"/>
        <v>0</v>
      </c>
      <c r="F9" s="48"/>
    </row>
    <row r="10">
      <c r="A10" s="15"/>
      <c r="B10" s="16"/>
      <c r="C10" s="10" t="s">
        <v>9</v>
      </c>
      <c r="D10" s="14"/>
      <c r="E10" s="14">
        <f t="shared" si="1"/>
        <v>0</v>
      </c>
      <c r="F10" s="48"/>
    </row>
    <row r="11">
      <c r="A11" s="15"/>
      <c r="B11" s="16"/>
      <c r="C11" s="10" t="s">
        <v>9</v>
      </c>
      <c r="D11" s="14"/>
      <c r="E11" s="14">
        <f t="shared" si="1"/>
        <v>0</v>
      </c>
      <c r="F11" s="48"/>
    </row>
    <row r="12">
      <c r="A12" s="15"/>
      <c r="B12" s="16"/>
      <c r="C12" s="10" t="s">
        <v>9</v>
      </c>
      <c r="D12" s="14"/>
      <c r="E12" s="14">
        <f t="shared" si="1"/>
        <v>0</v>
      </c>
      <c r="F12" s="48"/>
    </row>
    <row r="13">
      <c r="A13" s="15"/>
      <c r="B13" s="16"/>
      <c r="C13" s="10" t="s">
        <v>9</v>
      </c>
      <c r="D13" s="14"/>
      <c r="E13" s="14">
        <f t="shared" si="1"/>
        <v>0</v>
      </c>
      <c r="F13" s="48"/>
    </row>
    <row r="14">
      <c r="A14" s="15"/>
      <c r="B14" s="16"/>
      <c r="C14" s="10" t="s">
        <v>9</v>
      </c>
      <c r="D14" s="14"/>
      <c r="E14" s="14">
        <f t="shared" si="1"/>
        <v>0</v>
      </c>
      <c r="F14" s="48"/>
    </row>
    <row r="15">
      <c r="A15" s="15"/>
      <c r="B15" s="16"/>
      <c r="C15" s="10" t="s">
        <v>9</v>
      </c>
      <c r="D15" s="14"/>
      <c r="E15" s="14">
        <f t="shared" si="1"/>
        <v>0</v>
      </c>
      <c r="F15" s="48"/>
    </row>
    <row r="16">
      <c r="A16" s="15"/>
      <c r="B16" s="16"/>
      <c r="C16" s="10" t="s">
        <v>9</v>
      </c>
      <c r="D16" s="14"/>
      <c r="E16" s="14">
        <f t="shared" si="1"/>
        <v>0</v>
      </c>
      <c r="F16" s="48"/>
    </row>
    <row r="17">
      <c r="A17" s="15"/>
      <c r="B17" s="15"/>
      <c r="C17" s="17"/>
      <c r="D17" s="18"/>
      <c r="E17" s="17"/>
      <c r="F17" s="48"/>
    </row>
    <row r="18">
      <c r="A18" s="15" t="s">
        <v>12</v>
      </c>
      <c r="B18" s="9"/>
      <c r="C18" s="19" t="s">
        <v>14</v>
      </c>
      <c r="D18" s="18"/>
      <c r="E18" s="17"/>
      <c r="F18" s="48"/>
    </row>
    <row r="19">
      <c r="A19" s="15"/>
      <c r="B19" s="15"/>
      <c r="C19" s="17"/>
      <c r="D19" s="18"/>
      <c r="E19" s="17"/>
      <c r="F19" s="48"/>
    </row>
    <row r="20">
      <c r="A20" s="15" t="s">
        <v>15</v>
      </c>
      <c r="B20" s="9">
        <f>SUM(B5:B16)</f>
        <v>0</v>
      </c>
      <c r="C20" s="10" t="s">
        <v>9</v>
      </c>
      <c r="D20" s="17"/>
      <c r="E20" s="14">
        <f>SUM(E5:E16)</f>
        <v>0</v>
      </c>
      <c r="F20" s="48"/>
    </row>
    <row r="21">
      <c r="A21" s="20" t="s">
        <v>18</v>
      </c>
      <c r="B21" s="9" t="str">
        <f>B20/B18</f>
        <v>#DIV/0!</v>
      </c>
      <c r="C21" s="15"/>
      <c r="D21" s="15"/>
      <c r="E21" s="14" t="str">
        <f>E20/B18</f>
        <v>#DIV/0!</v>
      </c>
      <c r="F21" s="48"/>
    </row>
    <row r="22">
      <c r="A22" s="15" t="s">
        <v>21</v>
      </c>
      <c r="B22" s="16"/>
      <c r="C22" s="10" t="s">
        <v>14</v>
      </c>
      <c r="D22" s="15"/>
      <c r="E22" s="14" t="str">
        <f>B22*E21</f>
        <v>#DIV/0!</v>
      </c>
      <c r="F22" s="48"/>
    </row>
    <row r="23">
      <c r="A23" s="15" t="s">
        <v>24</v>
      </c>
      <c r="B23" s="8"/>
      <c r="C23" s="23"/>
      <c r="D23" s="11"/>
      <c r="E23" s="14">
        <f>C23+D23</f>
        <v>0</v>
      </c>
      <c r="F23" s="48"/>
    </row>
    <row r="24">
      <c r="A24" s="15" t="s">
        <v>6</v>
      </c>
      <c r="B24" s="25"/>
      <c r="C24" s="25"/>
      <c r="D24" s="25"/>
      <c r="E24" s="50" t="str">
        <f>E22+E23</f>
        <v>#DIV/0!</v>
      </c>
      <c r="F24" s="48"/>
    </row>
    <row r="25">
      <c r="A25" s="15" t="s">
        <v>30</v>
      </c>
      <c r="B25" s="27" t="s">
        <v>31</v>
      </c>
      <c r="C25" s="51"/>
      <c r="D25" s="15"/>
      <c r="E25" s="15"/>
      <c r="F25" s="48"/>
    </row>
    <row r="26">
      <c r="A26" s="15" t="s">
        <v>33</v>
      </c>
      <c r="B26" s="16"/>
      <c r="C26" s="19">
        <f>C25*B26</f>
        <v>0</v>
      </c>
      <c r="D26" s="15"/>
      <c r="E26" s="30"/>
      <c r="F26" s="48"/>
    </row>
    <row r="27">
      <c r="A27" s="31" t="s">
        <v>36</v>
      </c>
      <c r="B27" s="52" t="str">
        <f>C25-E24-C26</f>
        <v>#DIV/0!</v>
      </c>
      <c r="C27" s="15"/>
      <c r="D27" s="33" t="s">
        <v>38</v>
      </c>
      <c r="E27" s="53" t="str">
        <f>E24/C25</f>
        <v>#DIV/0!</v>
      </c>
      <c r="F27" s="48"/>
    </row>
    <row r="30">
      <c r="A30" s="35" t="s">
        <v>190</v>
      </c>
    </row>
    <row r="32">
      <c r="A32" s="1" t="s">
        <v>0</v>
      </c>
      <c r="B32" s="2"/>
      <c r="C32" s="3"/>
      <c r="D32" s="4" t="s">
        <v>1</v>
      </c>
      <c r="E32" s="3"/>
    </row>
    <row r="33">
      <c r="A33" s="5" t="s">
        <v>2</v>
      </c>
      <c r="B33" s="5" t="s">
        <v>3</v>
      </c>
      <c r="C33" s="6" t="s">
        <v>4</v>
      </c>
      <c r="D33" s="7" t="s">
        <v>5</v>
      </c>
      <c r="E33" s="6" t="s">
        <v>6</v>
      </c>
    </row>
    <row r="34">
      <c r="A34" s="8" t="s">
        <v>191</v>
      </c>
      <c r="B34" s="9">
        <v>100.0</v>
      </c>
      <c r="C34" s="10" t="s">
        <v>9</v>
      </c>
      <c r="D34" s="14">
        <f>Ingredients!J73</f>
        <v>0.02278071723</v>
      </c>
      <c r="E34" s="14">
        <f t="shared" ref="E34:E43" si="2">B34*D34</f>
        <v>2.278071723</v>
      </c>
      <c r="F34" s="48"/>
    </row>
    <row r="35">
      <c r="A35" s="8" t="s">
        <v>192</v>
      </c>
      <c r="B35" s="9">
        <v>10.0</v>
      </c>
      <c r="C35" s="10" t="s">
        <v>9</v>
      </c>
      <c r="D35" s="49">
        <f>Ingredients!J97</f>
        <v>0.009399551066</v>
      </c>
      <c r="E35" s="14">
        <f t="shared" si="2"/>
        <v>0.09399551066</v>
      </c>
      <c r="F35" s="48"/>
    </row>
    <row r="36">
      <c r="A36" s="8" t="s">
        <v>193</v>
      </c>
      <c r="B36" s="9">
        <v>5.0</v>
      </c>
      <c r="C36" s="10" t="s">
        <v>9</v>
      </c>
      <c r="D36" s="14">
        <f>Ingredients!J93</f>
        <v>0.1481481481</v>
      </c>
      <c r="E36" s="14">
        <f t="shared" si="2"/>
        <v>0.7407407407</v>
      </c>
      <c r="F36" s="48"/>
    </row>
    <row r="37">
      <c r="A37" s="15"/>
      <c r="B37" s="16"/>
      <c r="C37" s="10" t="s">
        <v>9</v>
      </c>
      <c r="D37" s="14"/>
      <c r="E37" s="14">
        <f t="shared" si="2"/>
        <v>0</v>
      </c>
      <c r="F37" s="48"/>
    </row>
    <row r="38">
      <c r="A38" s="15"/>
      <c r="B38" s="16"/>
      <c r="C38" s="10" t="s">
        <v>9</v>
      </c>
      <c r="D38" s="49"/>
      <c r="E38" s="14">
        <f t="shared" si="2"/>
        <v>0</v>
      </c>
      <c r="F38" s="48"/>
    </row>
    <row r="39">
      <c r="A39" s="15"/>
      <c r="B39" s="16"/>
      <c r="C39" s="10" t="s">
        <v>9</v>
      </c>
      <c r="D39" s="14"/>
      <c r="E39" s="14">
        <f t="shared" si="2"/>
        <v>0</v>
      </c>
      <c r="F39" s="48"/>
    </row>
    <row r="40">
      <c r="A40" s="15"/>
      <c r="B40" s="16"/>
      <c r="C40" s="10" t="s">
        <v>9</v>
      </c>
      <c r="D40" s="14"/>
      <c r="E40" s="14">
        <f t="shared" si="2"/>
        <v>0</v>
      </c>
      <c r="F40" s="48"/>
    </row>
    <row r="41">
      <c r="A41" s="15"/>
      <c r="B41" s="16"/>
      <c r="C41" s="10" t="s">
        <v>9</v>
      </c>
      <c r="D41" s="14"/>
      <c r="E41" s="14">
        <f t="shared" si="2"/>
        <v>0</v>
      </c>
      <c r="F41" s="48"/>
    </row>
    <row r="42">
      <c r="A42" s="15"/>
      <c r="B42" s="16"/>
      <c r="C42" s="10" t="s">
        <v>9</v>
      </c>
      <c r="D42" s="14"/>
      <c r="E42" s="14">
        <f t="shared" si="2"/>
        <v>0</v>
      </c>
      <c r="F42" s="48"/>
    </row>
    <row r="43">
      <c r="A43" s="15"/>
      <c r="B43" s="16"/>
      <c r="C43" s="10" t="s">
        <v>9</v>
      </c>
      <c r="D43" s="14"/>
      <c r="E43" s="14">
        <f t="shared" si="2"/>
        <v>0</v>
      </c>
      <c r="F43" s="48"/>
    </row>
    <row r="44">
      <c r="A44" s="15"/>
      <c r="B44" s="15"/>
      <c r="C44" s="17"/>
      <c r="D44" s="18"/>
      <c r="E44" s="17"/>
      <c r="F44" s="48"/>
    </row>
    <row r="45">
      <c r="A45" s="15" t="s">
        <v>12</v>
      </c>
      <c r="B45" s="9">
        <v>2.0</v>
      </c>
      <c r="C45" s="19" t="s">
        <v>14</v>
      </c>
      <c r="D45" s="18"/>
      <c r="E45" s="17"/>
      <c r="F45" s="48"/>
    </row>
    <row r="46">
      <c r="A46" s="15"/>
      <c r="B46" s="15"/>
      <c r="C46" s="17"/>
      <c r="D46" s="18"/>
      <c r="E46" s="17"/>
      <c r="F46" s="48"/>
    </row>
    <row r="47">
      <c r="A47" s="15" t="s">
        <v>15</v>
      </c>
      <c r="B47" s="9">
        <f>SUM(B34:B43)</f>
        <v>115</v>
      </c>
      <c r="C47" s="10" t="s">
        <v>9</v>
      </c>
      <c r="D47" s="17"/>
      <c r="E47" s="14">
        <f>SUM(E34:E43)</f>
        <v>3.112807974</v>
      </c>
      <c r="F47" s="48"/>
    </row>
    <row r="48">
      <c r="A48" s="20" t="s">
        <v>18</v>
      </c>
      <c r="B48" s="9">
        <f>B47/B45</f>
        <v>57.5</v>
      </c>
      <c r="C48" s="15"/>
      <c r="D48" s="15"/>
      <c r="E48" s="14">
        <f>E47/B45</f>
        <v>1.556403987</v>
      </c>
      <c r="F48" s="48"/>
    </row>
    <row r="49">
      <c r="A49" s="15" t="s">
        <v>21</v>
      </c>
      <c r="B49" s="16">
        <v>1.0</v>
      </c>
      <c r="C49" s="10" t="s">
        <v>14</v>
      </c>
      <c r="D49" s="15"/>
      <c r="E49" s="14">
        <f>B49*E48</f>
        <v>1.556403987</v>
      </c>
      <c r="F49" s="48"/>
    </row>
    <row r="50">
      <c r="A50" s="15" t="s">
        <v>24</v>
      </c>
      <c r="B50" s="8">
        <v>1.0</v>
      </c>
      <c r="C50" s="23"/>
      <c r="D50" s="11">
        <v>0.13</v>
      </c>
      <c r="E50" s="14">
        <f>C50+D50</f>
        <v>0.13</v>
      </c>
      <c r="F50" s="48"/>
    </row>
    <row r="51">
      <c r="A51" s="15" t="s">
        <v>6</v>
      </c>
      <c r="B51" s="25"/>
      <c r="C51" s="25"/>
      <c r="D51" s="25"/>
      <c r="E51" s="50">
        <f>E49+E50</f>
        <v>1.686403987</v>
      </c>
      <c r="F51" s="48"/>
    </row>
    <row r="52">
      <c r="A52" s="15" t="s">
        <v>30</v>
      </c>
      <c r="B52" s="27" t="s">
        <v>31</v>
      </c>
      <c r="C52" s="51">
        <v>8.0</v>
      </c>
      <c r="D52" s="15"/>
      <c r="E52" s="15"/>
      <c r="F52" s="48"/>
    </row>
    <row r="53">
      <c r="A53" s="15" t="s">
        <v>33</v>
      </c>
      <c r="B53" s="16">
        <v>0.06875</v>
      </c>
      <c r="C53" s="19">
        <f>C52*B53</f>
        <v>0.55</v>
      </c>
      <c r="D53" s="15"/>
      <c r="E53" s="30"/>
      <c r="F53" s="48"/>
    </row>
    <row r="54">
      <c r="A54" s="31" t="s">
        <v>36</v>
      </c>
      <c r="B54" s="52">
        <f>C52-E51-C53</f>
        <v>5.763596013</v>
      </c>
      <c r="C54" s="15"/>
      <c r="D54" s="33" t="s">
        <v>38</v>
      </c>
      <c r="E54" s="53">
        <f>E51/C52</f>
        <v>0.2108004984</v>
      </c>
      <c r="F54" s="48"/>
    </row>
  </sheetData>
  <mergeCells count="4">
    <mergeCell ref="A3:C3"/>
    <mergeCell ref="D3:E3"/>
    <mergeCell ref="A32:C32"/>
    <mergeCell ref="D32:E32"/>
  </mergeCells>
  <drawing r:id="rId1"/>
</worksheet>
</file>